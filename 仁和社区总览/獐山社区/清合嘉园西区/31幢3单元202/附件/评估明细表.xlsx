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 firstSheet="3" activeTab="3"/>
  </bookViews>
  <sheets>
    <sheet name="1-汇总表" sheetId="1" state="hidden" r:id="rId1"/>
    <sheet name="2-分类汇总" sheetId="2" state="hidden" r:id="rId2"/>
    <sheet name="3-9存货汇总" sheetId="6" state="hidden" r:id="rId3"/>
    <sheet name="3-9-2原材料" sheetId="7" r:id="rId4"/>
    <sheet name="4-非流动资产汇总" sheetId="3" state="hidden" r:id="rId5"/>
    <sheet name="4-6固定资产汇总" sheetId="4" state="hidden" r:id="rId6"/>
    <sheet name="4-6-1房屋建筑物" sheetId="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0">#REF!</definedName>
    <definedName name="\a">#REF!</definedName>
    <definedName name="\z">#REF!</definedName>
    <definedName name="_Fill" hidden="1">#REF!</definedName>
    <definedName name="a">#REF!</definedName>
    <definedName name="aa">#REF!</definedName>
    <definedName name="aaa">aaa</definedName>
    <definedName name="abc">abc</definedName>
    <definedName name="BT">#REF!</definedName>
    <definedName name="CCFF1">#REF!</definedName>
    <definedName name="CCFF1000">#REF!</definedName>
    <definedName name="CCFF1001">#REF!</definedName>
    <definedName name="CCFF1002">#REF!</definedName>
    <definedName name="CCFF1003">#REF!</definedName>
    <definedName name="CCFF1004">#REF!</definedName>
    <definedName name="CCFF1005">#REF!</definedName>
    <definedName name="CCFF1006">#REF!</definedName>
    <definedName name="CCFF1007">#REF!</definedName>
    <definedName name="CCFF1016">#REF!</definedName>
    <definedName name="CCFF1017">#REF!</definedName>
    <definedName name="CCFF1018">#REF!</definedName>
    <definedName name="CCFF1019">#REF!</definedName>
    <definedName name="CCFF1020">#REF!</definedName>
    <definedName name="CCFF1021">#REF!</definedName>
    <definedName name="CCFF1022">#REF!</definedName>
    <definedName name="CCFF1023">#REF!</definedName>
    <definedName name="CCFF1024">#REF!</definedName>
    <definedName name="CCFF1029">#REF!</definedName>
    <definedName name="CCFF1030">#REF!</definedName>
    <definedName name="CCFF1031">#REF!</definedName>
    <definedName name="CCFF1032">#REF!</definedName>
    <definedName name="CCFF1033">#REF!</definedName>
    <definedName name="CCFF1034">#REF!</definedName>
    <definedName name="CCFF1035">#REF!</definedName>
    <definedName name="CCFF1036">#REF!</definedName>
    <definedName name="CCFF1037">#REF!</definedName>
    <definedName name="CCFF1048">#REF!</definedName>
    <definedName name="CCFF1049">#REF!</definedName>
    <definedName name="CCFF1050">#REF!</definedName>
    <definedName name="CCFF1051">#REF!</definedName>
    <definedName name="CCFF1052">#REF!</definedName>
    <definedName name="CCFF1053">#REF!</definedName>
    <definedName name="CCFF1054">#REF!</definedName>
    <definedName name="CCFF1055">#REF!</definedName>
    <definedName name="CCFF1056">#REF!</definedName>
    <definedName name="CCFF1065">#REF!</definedName>
    <definedName name="CCFF1066">#REF!</definedName>
    <definedName name="CCFF1067">#REF!</definedName>
    <definedName name="CCFF1068">#REF!</definedName>
    <definedName name="CCFF1069">#REF!</definedName>
    <definedName name="CCFF1070">#REF!</definedName>
    <definedName name="CCFF1071">#REF!</definedName>
    <definedName name="CCFF1072">#REF!</definedName>
    <definedName name="CCFF1073">#REF!</definedName>
    <definedName name="CCFF134">#REF!</definedName>
    <definedName name="CCFF135">#REF!</definedName>
    <definedName name="CCFF136">#REF!</definedName>
    <definedName name="CCFF137">#REF!</definedName>
    <definedName name="CCFF138">#REF!</definedName>
    <definedName name="CCFF139">#REF!</definedName>
    <definedName name="CCFF140">#REF!</definedName>
    <definedName name="CCFF141">#REF!</definedName>
    <definedName name="CCFF142">#REF!</definedName>
    <definedName name="CCFF143">#REF!</definedName>
    <definedName name="CCFF144">#REF!</definedName>
    <definedName name="CCFF186">#REF!</definedName>
    <definedName name="CCFF187">#REF!</definedName>
    <definedName name="CCFF188">#REF!</definedName>
    <definedName name="CCFF189">#REF!</definedName>
    <definedName name="CCFF190">#REF!</definedName>
    <definedName name="CCFF191">#REF!</definedName>
    <definedName name="CCFF192">#REF!</definedName>
    <definedName name="CCFF193">#REF!</definedName>
    <definedName name="CCFF194">#REF!</definedName>
    <definedName name="CCFF195">#REF!</definedName>
    <definedName name="CCFF196">#REF!</definedName>
    <definedName name="CCFF21">#REF!</definedName>
    <definedName name="CCFF216">#REF!</definedName>
    <definedName name="CCFF217">#REF!</definedName>
    <definedName name="CCFF218">#REF!</definedName>
    <definedName name="CCFF219">#REF!</definedName>
    <definedName name="CCFF22">#REF!</definedName>
    <definedName name="CCFF220">#REF!</definedName>
    <definedName name="CCFF221">#REF!</definedName>
    <definedName name="CCFF222">#REF!</definedName>
    <definedName name="CCFF223">#REF!</definedName>
    <definedName name="CCFF224">#REF!</definedName>
    <definedName name="CCFF225">#REF!</definedName>
    <definedName name="CCFF226">#REF!</definedName>
    <definedName name="CCFF23">#REF!</definedName>
    <definedName name="CCFF24">#REF!</definedName>
    <definedName name="CCFF243">#REF!</definedName>
    <definedName name="CCFF25">#REF!</definedName>
    <definedName name="CCFF255">#REF!</definedName>
    <definedName name="CCFF256">#REF!</definedName>
    <definedName name="CCFF257">#REF!</definedName>
    <definedName name="CCFF258">#REF!</definedName>
    <definedName name="CCFF259">#REF!</definedName>
    <definedName name="CCFF26">#REF!</definedName>
    <definedName name="CCFF260">#REF!</definedName>
    <definedName name="CCFF261">#REF!</definedName>
    <definedName name="CCFF262">#REF!</definedName>
    <definedName name="CCFF263">#REF!</definedName>
    <definedName name="CCFF264">#REF!</definedName>
    <definedName name="CCFF265">#REF!</definedName>
    <definedName name="CCFF27">#REF!</definedName>
    <definedName name="CCFF28">#REF!</definedName>
    <definedName name="CCFF29">#REF!</definedName>
    <definedName name="CCFF388">#REF!</definedName>
    <definedName name="CCFF389">#REF!</definedName>
    <definedName name="CCFF390">#REF!</definedName>
    <definedName name="CCFF391">#REF!</definedName>
    <definedName name="CCFF392">#REF!</definedName>
    <definedName name="CCFF393">#REF!</definedName>
    <definedName name="CCFF394">#REF!</definedName>
    <definedName name="CCFF395">#REF!</definedName>
    <definedName name="CCFF396">#REF!</definedName>
    <definedName name="CCFF397">#REF!</definedName>
    <definedName name="CCFF398">#REF!</definedName>
    <definedName name="CCFF413">#REF!</definedName>
    <definedName name="CCFF414">#REF!</definedName>
    <definedName name="CCFF415">#REF!</definedName>
    <definedName name="CCFF416">#REF!</definedName>
    <definedName name="CCFF417">#REF!</definedName>
    <definedName name="CCFF418">#REF!</definedName>
    <definedName name="CCFF419">#REF!</definedName>
    <definedName name="CCFF420">#REF!</definedName>
    <definedName name="CCFF421">#REF!</definedName>
    <definedName name="CCFF422">#REF!</definedName>
    <definedName name="CCFF423">#REF!</definedName>
    <definedName name="CCFF46">#REF!</definedName>
    <definedName name="CCFF47">#REF!</definedName>
    <definedName name="CCFF474">#REF!</definedName>
    <definedName name="CCFF475">#REF!</definedName>
    <definedName name="CCFF476">#REF!</definedName>
    <definedName name="CCFF477">#REF!</definedName>
    <definedName name="CCFF478">#REF!</definedName>
    <definedName name="CCFF479">#REF!</definedName>
    <definedName name="CCFF48">#REF!</definedName>
    <definedName name="CCFF480">#REF!</definedName>
    <definedName name="CCFF481">#REF!</definedName>
    <definedName name="CCFF482">#REF!</definedName>
    <definedName name="CCFF483">#REF!</definedName>
    <definedName name="CCFF484">#REF!</definedName>
    <definedName name="CCFF49">#REF!</definedName>
    <definedName name="CCFF50">#REF!</definedName>
    <definedName name="CCFF507">#REF!</definedName>
    <definedName name="CCFF508">#REF!</definedName>
    <definedName name="CCFF509">#REF!</definedName>
    <definedName name="CCFF51">#REF!</definedName>
    <definedName name="CCFF510">#REF!</definedName>
    <definedName name="CCFF511">#REF!</definedName>
    <definedName name="CCFF512">#REF!</definedName>
    <definedName name="CCFF513">#REF!</definedName>
    <definedName name="CCFF514">#REF!</definedName>
    <definedName name="CCFF515">#REF!</definedName>
    <definedName name="CCFF516">#REF!</definedName>
    <definedName name="CCFF517">#REF!</definedName>
    <definedName name="CCFF52">#REF!</definedName>
    <definedName name="CCFF53">#REF!</definedName>
    <definedName name="CCFF533">#REF!</definedName>
    <definedName name="CCFF534">#REF!</definedName>
    <definedName name="CCFF535">#REF!</definedName>
    <definedName name="CCFF536">#REF!</definedName>
    <definedName name="CCFF537">#REF!</definedName>
    <definedName name="CCFF538">#REF!</definedName>
    <definedName name="CCFF539">#REF!</definedName>
    <definedName name="CCFF54">#REF!</definedName>
    <definedName name="CCFF540">#REF!</definedName>
    <definedName name="CCFF541">#REF!</definedName>
    <definedName name="CCFF542">#REF!</definedName>
    <definedName name="CCFF543">#REF!</definedName>
    <definedName name="CCFF55">#REF!</definedName>
    <definedName name="CCFF56">#REF!</definedName>
    <definedName name="CCFF597">#REF!</definedName>
    <definedName name="CCFF598">#REF!</definedName>
    <definedName name="CCFF599">#REF!</definedName>
    <definedName name="CCFF600">#REF!</definedName>
    <definedName name="CCFF601">#REF!</definedName>
    <definedName name="CCFF602">#REF!</definedName>
    <definedName name="CCFF603">#REF!</definedName>
    <definedName name="CCFF604">#REF!</definedName>
    <definedName name="CCFF605">#REF!</definedName>
    <definedName name="CCFF606">#REF!</definedName>
    <definedName name="CCFF607">#REF!</definedName>
    <definedName name="CCFF623">#REF!</definedName>
    <definedName name="CCFF624">#REF!</definedName>
    <definedName name="CCFF625">#REF!</definedName>
    <definedName name="CCFF626">#REF!</definedName>
    <definedName name="CCFF627">#REF!</definedName>
    <definedName name="CCFF628">#REF!</definedName>
    <definedName name="CCFF629">#REF!</definedName>
    <definedName name="CCFF630">#REF!</definedName>
    <definedName name="CCFF631">#REF!</definedName>
    <definedName name="CCFF632">#REF!</definedName>
    <definedName name="CCFF633">#REF!</definedName>
    <definedName name="CCFF644">#REF!</definedName>
    <definedName name="CCFF645">#REF!</definedName>
    <definedName name="CCFF646">#REF!</definedName>
    <definedName name="CCFF647">#REF!</definedName>
    <definedName name="CCFF648">#REF!</definedName>
    <definedName name="CCFF649">#REF!</definedName>
    <definedName name="CCFF650">#REF!</definedName>
    <definedName name="CCFF651">#REF!</definedName>
    <definedName name="CCFF652">#REF!</definedName>
    <definedName name="CCFF653">#REF!</definedName>
    <definedName name="CCFF654">#REF!</definedName>
    <definedName name="CCFF664">#REF!</definedName>
    <definedName name="CCFF665">#REF!</definedName>
    <definedName name="CCFF666">#REF!</definedName>
    <definedName name="CCFF667">#REF!</definedName>
    <definedName name="CCFF668">#REF!</definedName>
    <definedName name="CCFF669">#REF!</definedName>
    <definedName name="CCFF670">#REF!</definedName>
    <definedName name="CCFF671">#REF!</definedName>
    <definedName name="CCFF672">#REF!</definedName>
    <definedName name="CCFF673">#REF!</definedName>
    <definedName name="CCFF674">#REF!</definedName>
    <definedName name="CCFF682">#REF!</definedName>
    <definedName name="CCFF683">#REF!</definedName>
    <definedName name="CCFF684">#REF!</definedName>
    <definedName name="CCFF685">#REF!</definedName>
    <definedName name="CCFF686">#REF!</definedName>
    <definedName name="CCFF687">#REF!</definedName>
    <definedName name="CCFF688">#REF!</definedName>
    <definedName name="CCFF689">#REF!</definedName>
    <definedName name="CCFF690">#REF!</definedName>
    <definedName name="CCFF691">#REF!</definedName>
    <definedName name="CCFF692">#REF!</definedName>
    <definedName name="CCFF694">#REF!</definedName>
    <definedName name="CCFF695">#REF!</definedName>
    <definedName name="CCFF698">#REF!</definedName>
    <definedName name="CCFF699">#REF!</definedName>
    <definedName name="CCFF700">#REF!</definedName>
    <definedName name="CCFF701">#REF!</definedName>
    <definedName name="CCFF702">#REF!</definedName>
    <definedName name="CCFF703">#REF!</definedName>
    <definedName name="CCFF704">#REF!</definedName>
    <definedName name="CCFF705">#REF!</definedName>
    <definedName name="CCFF706">#REF!</definedName>
    <definedName name="CCFF707">#REF!</definedName>
    <definedName name="CCFF708">#REF!</definedName>
    <definedName name="CCFF734">#REF!</definedName>
    <definedName name="CCFF735">#REF!</definedName>
    <definedName name="CCFF736">#REF!</definedName>
    <definedName name="CCFF737">#REF!</definedName>
    <definedName name="CCFF738">#REF!</definedName>
    <definedName name="CCFF739">#REF!</definedName>
    <definedName name="CCFF740">#REF!</definedName>
    <definedName name="CCFF741">#REF!</definedName>
    <definedName name="CCFF742">#REF!</definedName>
    <definedName name="CCFF743">#REF!</definedName>
    <definedName name="CCFF744">#REF!</definedName>
    <definedName name="CCFF767">#REF!</definedName>
    <definedName name="CCFF768">#REF!</definedName>
    <definedName name="CCFF769">#REF!</definedName>
    <definedName name="CCFF770">#REF!</definedName>
    <definedName name="CCFF771">#REF!</definedName>
    <definedName name="CCFF772">#REF!</definedName>
    <definedName name="CCFF773">#REF!</definedName>
    <definedName name="CCFF774">#REF!</definedName>
    <definedName name="CCFF775">#REF!</definedName>
    <definedName name="CCFF776">#REF!</definedName>
    <definedName name="CCFF777">#REF!</definedName>
    <definedName name="CCFF797">#REF!</definedName>
    <definedName name="CCFF798">#REF!</definedName>
    <definedName name="CCFF799">#REF!</definedName>
    <definedName name="CCFF800">#REF!</definedName>
    <definedName name="CCFF801">#REF!</definedName>
    <definedName name="CCFF802">#REF!</definedName>
    <definedName name="CCFF803">#REF!</definedName>
    <definedName name="CCFF804">#REF!</definedName>
    <definedName name="CCFF805">#REF!</definedName>
    <definedName name="CCFF806">#REF!</definedName>
    <definedName name="CCFF807">#REF!</definedName>
    <definedName name="CCFF815">#REF!</definedName>
    <definedName name="CCFF816">#REF!</definedName>
    <definedName name="CCFF817">#REF!</definedName>
    <definedName name="CCFF818">#REF!</definedName>
    <definedName name="CCFF819">#REF!</definedName>
    <definedName name="CCFF820">#REF!</definedName>
    <definedName name="CCFF821">#REF!</definedName>
    <definedName name="CCFF822">#REF!</definedName>
    <definedName name="CCFF823">#REF!</definedName>
    <definedName name="CCFF824">#REF!</definedName>
    <definedName name="CCFF825">#REF!</definedName>
    <definedName name="CCFF826">#REF!</definedName>
    <definedName name="CCFF832">#REF!</definedName>
    <definedName name="CCFF833">#REF!</definedName>
    <definedName name="CCFF834">#REF!</definedName>
    <definedName name="CCFF835">#REF!</definedName>
    <definedName name="CCFF836">#REF!</definedName>
    <definedName name="CCFF837">#REF!</definedName>
    <definedName name="CCFF838">#REF!</definedName>
    <definedName name="CCFF839">#REF!</definedName>
    <definedName name="CCFF840">#REF!</definedName>
    <definedName name="CCFF843">#REF!</definedName>
    <definedName name="CCFF845">#REF!</definedName>
    <definedName name="CCFF846">#REF!</definedName>
    <definedName name="CCFF847">#REF!</definedName>
    <definedName name="CCFF848">#REF!</definedName>
    <definedName name="CCFF849">#REF!</definedName>
    <definedName name="CCFF850">#REF!</definedName>
    <definedName name="CCFF851">#REF!</definedName>
    <definedName name="CCFF852">#REF!</definedName>
    <definedName name="CCFF853">#REF!</definedName>
    <definedName name="CCFF891">#REF!</definedName>
    <definedName name="CCFF892">#REF!</definedName>
    <definedName name="CCFF893">#REF!</definedName>
    <definedName name="CCFF894">#REF!</definedName>
    <definedName name="CCFF895">#REF!</definedName>
    <definedName name="CCFF896">#REF!</definedName>
    <definedName name="CCFF897">#REF!</definedName>
    <definedName name="CCFF898">#REF!</definedName>
    <definedName name="CCFF899">#REF!</definedName>
    <definedName name="CCFF906">#REF!</definedName>
    <definedName name="CCFF907">#REF!</definedName>
    <definedName name="CCFF908">#REF!</definedName>
    <definedName name="CCFF909">#REF!</definedName>
    <definedName name="CCFF910">#REF!</definedName>
    <definedName name="CCFF911">#REF!</definedName>
    <definedName name="CCFF912">#REF!</definedName>
    <definedName name="CCFF913">#REF!</definedName>
    <definedName name="CCFF914">#REF!</definedName>
    <definedName name="CCFF919">#REF!</definedName>
    <definedName name="CCFF920">#REF!</definedName>
    <definedName name="CCFF921">#REF!</definedName>
    <definedName name="CCFF922">#REF!</definedName>
    <definedName name="CCFF923">#REF!</definedName>
    <definedName name="CCFF924">#REF!</definedName>
    <definedName name="CCFF925">#REF!</definedName>
    <definedName name="CCFF926">#REF!</definedName>
    <definedName name="CCFF927">#REF!</definedName>
    <definedName name="CCFF932">#REF!</definedName>
    <definedName name="CCFF933">#REF!</definedName>
    <definedName name="CCFF934">#REF!</definedName>
    <definedName name="CCFF935">#REF!</definedName>
    <definedName name="CCFF936">#REF!</definedName>
    <definedName name="CCFF937">#REF!</definedName>
    <definedName name="CCFF938">#REF!</definedName>
    <definedName name="CCFF939">#REF!</definedName>
    <definedName name="CCFF940">#REF!</definedName>
    <definedName name="CCFF948">#REF!</definedName>
    <definedName name="CCFF949">#REF!</definedName>
    <definedName name="CCFF950">#REF!</definedName>
    <definedName name="CCFF951">#REF!</definedName>
    <definedName name="CCFF952">#REF!</definedName>
    <definedName name="CCFF953">#REF!</definedName>
    <definedName name="CCFF954">#REF!</definedName>
    <definedName name="CCFF955">#REF!</definedName>
    <definedName name="CCFF956">#REF!</definedName>
    <definedName name="CCFF967">#REF!</definedName>
    <definedName name="CCFF968">#REF!</definedName>
    <definedName name="CCFF969">#REF!</definedName>
    <definedName name="CCFF970">#REF!</definedName>
    <definedName name="CCFF971">#REF!</definedName>
    <definedName name="CCFF972">#REF!</definedName>
    <definedName name="CCFF973">#REF!</definedName>
    <definedName name="CCFF974">#REF!</definedName>
    <definedName name="CCFF975">#REF!</definedName>
    <definedName name="CCFF984">#REF!</definedName>
    <definedName name="CCFF985">#REF!</definedName>
    <definedName name="CCFF986">#REF!</definedName>
    <definedName name="CCFF987">#REF!</definedName>
    <definedName name="CCFF988">#REF!</definedName>
    <definedName name="CCFF989">#REF!</definedName>
    <definedName name="CCFF990">#REF!</definedName>
    <definedName name="CCFF991">#REF!</definedName>
    <definedName name="CCFF992">#REF!</definedName>
    <definedName name="CCFF999">#REF!</definedName>
    <definedName name="cjbb145">[1]新准则TB!$E$145</definedName>
    <definedName name="cjbb196">[2]新准则TB!#REF!</definedName>
    <definedName name="cjbb197">[2]新准则TB!#REF!</definedName>
    <definedName name="cost">#REF!</definedName>
    <definedName name="d">d</definedName>
    <definedName name="DATA">#REF!</definedName>
    <definedName name="Database">[3]B!#REF!</definedName>
    <definedName name="fr">fr</definedName>
    <definedName name="gt">gt</definedName>
    <definedName name="HHBB145">[4]试算平衡表!$G$145</definedName>
    <definedName name="HHBB149">[4]试算平衡表!$G$149</definedName>
    <definedName name="hy">#REF!</definedName>
    <definedName name="j">j</definedName>
    <definedName name="JHH">JHH</definedName>
    <definedName name="ju">#REF!</definedName>
    <definedName name="jw">jw</definedName>
    <definedName name="K">K</definedName>
    <definedName name="ki">#REF!</definedName>
    <definedName name="ll">ll</definedName>
    <definedName name="lm">lm</definedName>
    <definedName name="lo" hidden="1">#REF!</definedName>
    <definedName name="MMBB14">[4]XBase!#REF!</definedName>
    <definedName name="Payment_Number">ROW()-Header_Row</definedName>
    <definedName name="PRCGAAP">#REF!</definedName>
    <definedName name="PRCGAAP2">#REF!</definedName>
    <definedName name="_xlnm.Print_Area" localSheetId="0">'1-汇总表'!$A$1:$F$31</definedName>
    <definedName name="_xlnm.Print_Area">#REF!</definedName>
    <definedName name="Print_Area_MI">#REF!</definedName>
    <definedName name="Q">Q</definedName>
    <definedName name="T">#REF!</definedName>
    <definedName name="tr">tr</definedName>
    <definedName name="trty">#REF!</definedName>
    <definedName name="tryu">#REF!</definedName>
    <definedName name="UFPrn20001009163924">#REF!</definedName>
    <definedName name="UFPrn20001009164301">#REF!</definedName>
    <definedName name="UFPrn20001009164338">#REF!</definedName>
    <definedName name="UFPrn20001010183648">#REF!</definedName>
    <definedName name="UFPrn20001010183810">#REF!</definedName>
    <definedName name="UFPrn20001015110203">#REF!</definedName>
    <definedName name="UFPrn20001015110227">#REF!</definedName>
    <definedName name="UFPrn20001015110326">#REF!</definedName>
    <definedName name="Work_Program_By_Area_List">#REF!</definedName>
    <definedName name="wrn.负债及权益." hidden="1">{"负债及权益",#N/A,FALSE,"TB-BS"}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WWW">WWW</definedName>
    <definedName name="Y">[5]B!#REF!</definedName>
    <definedName name="安置补助费">#REF!</definedName>
    <definedName name="存货93期初">[6]企业表一!$C$7</definedName>
    <definedName name="存货93期末">[6]企业表一!$D$7</definedName>
    <definedName name="存货94期初">[6]企业表一!$E$7</definedName>
    <definedName name="存货94期末">[6]企业表一!$F$7</definedName>
    <definedName name="存货95期初">[6]企业表一!$G$7</definedName>
    <definedName name="存货95期末">[6]企业表一!$H$7</definedName>
    <definedName name="地">#REF!</definedName>
    <definedName name="负债">#REF!</definedName>
    <definedName name="负债合计93期末">[6]企业表一!$D$17</definedName>
    <definedName name="负债合计94期末">[6]企业表一!$F$17</definedName>
    <definedName name="负债合计95期末">[6]企业表一!$H$17</definedName>
    <definedName name="工">#REF!</definedName>
    <definedName name="共和国发挥搞活">共和国发挥搞活</definedName>
    <definedName name="号">号</definedName>
    <definedName name="宏1">[7]!宏1</definedName>
    <definedName name="宏2">[7]!宏2</definedName>
    <definedName name="宏7">宏7</definedName>
    <definedName name="宏8">宏8</definedName>
    <definedName name="汇率">#REF!</definedName>
    <definedName name="金">金</definedName>
    <definedName name="金2">金2</definedName>
    <definedName name="金了">金了</definedName>
    <definedName name="净_利_润93">'[6]M-5C'!$B$24</definedName>
    <definedName name="净_利_润94">'[6]M-5C'!$D$24</definedName>
    <definedName name="净_利_润95">'[6]M-5C'!$F$24</definedName>
    <definedName name="净资产合计93期初">[6]企业表一!$C$20</definedName>
    <definedName name="净资产合计93期末">[6]企业表一!$D$20</definedName>
    <definedName name="净资产合计94期初">[6]企业表一!$E$20</definedName>
    <definedName name="净资产合计94期末">[6]企业表一!$F$20</definedName>
    <definedName name="净资产合计95期初">[6]企业表一!$G$20</definedName>
    <definedName name="净资产合计95期末">[6]企业表一!$H$20</definedName>
    <definedName name="控复">[8]!控复</definedName>
    <definedName name="利_润_总_额93">'[6]M-5A'!$B$10</definedName>
    <definedName name="利_润_总_额94">'[6]M-5A'!$C$10</definedName>
    <definedName name="利_润_总_额95">'[6]M-5A'!$D$10</definedName>
    <definedName name="另">[8]!另</definedName>
    <definedName name="流_动_资_产93">'[6]M-5A'!$B$15</definedName>
    <definedName name="流_动_资_产94">'[6]M-5A'!$C$15</definedName>
    <definedName name="流_动_资_产95">'[6]M-5A'!$D$15</definedName>
    <definedName name="流动负债93期末">[6]企业表一!$D$15</definedName>
    <definedName name="流动负债94期末">[6]企业表一!$F$15</definedName>
    <definedName name="流动负债95期末">[6]企业表一!$H$15</definedName>
    <definedName name="明细分类账">#REF!</definedName>
    <definedName name="母复">[8]!母复</definedName>
    <definedName name="年初短期投资">#REF!</definedName>
    <definedName name="年初货币资金">#REF!</definedName>
    <definedName name="年初应收票据">#REF!</definedName>
    <definedName name="全复">[8]!全复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速_动_资_产93">'[6]M-5A'!$B$14</definedName>
    <definedName name="速_动_资_产94">'[6]M-5A'!$C$14</definedName>
    <definedName name="速_动_资_产95">'[6]M-5A'!$D$14</definedName>
    <definedName name="损益">#REF!</definedName>
    <definedName name="鑫">鑫</definedName>
    <definedName name="一落千丈">#REF!</definedName>
    <definedName name="应收帐款93期初">[6]企业表一!$C$6</definedName>
    <definedName name="应收帐款93期末">[6]企业表一!$D$6</definedName>
    <definedName name="应收帐款94期初">[6]企业表一!$E$6</definedName>
    <definedName name="应收帐款94期末">[6]企业表一!$F$6</definedName>
    <definedName name="应收帐款95期初">[6]企业表一!$G$6</definedName>
    <definedName name="应收帐款95期末">[6]企业表一!$H$6</definedName>
    <definedName name="有">#REF!</definedName>
    <definedName name="资产">#REF!</definedName>
    <definedName name="资产合计93期初">[6]企业表一!$C$14</definedName>
    <definedName name="资产合计93期末">[6]企业表一!$D$14</definedName>
    <definedName name="资产合计94期初">[6]企业表一!$E$14</definedName>
    <definedName name="资产合计94期末">[6]企业表一!$F$14</definedName>
    <definedName name="资产合计95期初">[6]企业表一!$G$14</definedName>
    <definedName name="资产合计95期末">[6]企业表一!$H$14</definedName>
    <definedName name="전">#REF!</definedName>
    <definedName name="주택사업본부">#REF!</definedName>
    <definedName name="철구사업본부">#REF!</definedName>
    <definedName name="aaa" localSheetId="1">aaa</definedName>
    <definedName name="abc" localSheetId="1">abc</definedName>
    <definedName name="d" localSheetId="1">d</definedName>
    <definedName name="fr" localSheetId="1">fr</definedName>
    <definedName name="gt" localSheetId="1">gt</definedName>
    <definedName name="j" localSheetId="1">j</definedName>
    <definedName name="JHH" localSheetId="1">JHH</definedName>
    <definedName name="jw" localSheetId="1">jw</definedName>
    <definedName name="K" localSheetId="1">K</definedName>
    <definedName name="ll" localSheetId="1">ll</definedName>
    <definedName name="lm" localSheetId="1">lm</definedName>
    <definedName name="Payment_Number" localSheetId="1">ROW()-Header_Row</definedName>
    <definedName name="_xlnm.Print_Area" localSheetId="1">'2-分类汇总'!$A$1:$F$59</definedName>
    <definedName name="_xlnm.Print_Titles" localSheetId="1">'2-分类汇总'!$1:$5</definedName>
    <definedName name="Q" localSheetId="1">Q</definedName>
    <definedName name="tr" localSheetId="1">tr</definedName>
    <definedName name="WWW" localSheetId="1">WWW</definedName>
    <definedName name="共和国发挥搞活" localSheetId="1">共和国发挥搞活</definedName>
    <definedName name="号" localSheetId="1">号</definedName>
    <definedName name="宏7" localSheetId="1">宏7</definedName>
    <definedName name="宏8" localSheetId="1">宏8</definedName>
    <definedName name="金" localSheetId="1">金</definedName>
    <definedName name="金2" localSheetId="1">金2</definedName>
    <definedName name="金了" localSheetId="1">金了</definedName>
    <definedName name="鑫" localSheetId="1">鑫</definedName>
    <definedName name="aa" localSheetId="4">#REF!</definedName>
    <definedName name="aaa" localSheetId="4">aaa</definedName>
    <definedName name="abc" localSheetId="4">abc</definedName>
    <definedName name="d" localSheetId="4">d</definedName>
    <definedName name="fr" localSheetId="4">fr</definedName>
    <definedName name="gt" localSheetId="4">gt</definedName>
    <definedName name="j" localSheetId="4">j</definedName>
    <definedName name="JHH" localSheetId="4">JHH</definedName>
    <definedName name="jw" localSheetId="4">jw</definedName>
    <definedName name="K" localSheetId="4">K</definedName>
    <definedName name="ll" localSheetId="4">ll</definedName>
    <definedName name="lm" localSheetId="4">lm</definedName>
    <definedName name="Payment_Number" localSheetId="4">ROW()-Header_Row</definedName>
    <definedName name="Q" localSheetId="4">Q</definedName>
    <definedName name="tr" localSheetId="4">tr</definedName>
    <definedName name="Work_Program_By_Area_List" localSheetId="4">#REF!</definedName>
    <definedName name="WWW" localSheetId="4">WWW</definedName>
    <definedName name="共和国发挥搞活" localSheetId="4">共和国发挥搞活</definedName>
    <definedName name="号" localSheetId="4">号</definedName>
    <definedName name="宏7" localSheetId="4">宏7</definedName>
    <definedName name="宏8" localSheetId="4">宏8</definedName>
    <definedName name="金" localSheetId="4">金</definedName>
    <definedName name="金2" localSheetId="4">金2</definedName>
    <definedName name="金了" localSheetId="4">金了</definedName>
    <definedName name="鑫" localSheetId="4">鑫</definedName>
    <definedName name="전" localSheetId="4">#REF!</definedName>
    <definedName name="주택사업본부" localSheetId="4">#REF!</definedName>
    <definedName name="철구사업본부" localSheetId="4">#REF!</definedName>
    <definedName name="aaa" localSheetId="5">aaa</definedName>
    <definedName name="abc" localSheetId="5">abc</definedName>
    <definedName name="d" localSheetId="5">d</definedName>
    <definedName name="fr" localSheetId="5">fr</definedName>
    <definedName name="gt" localSheetId="5">gt</definedName>
    <definedName name="j" localSheetId="5">j</definedName>
    <definedName name="JHH" localSheetId="5">JHH</definedName>
    <definedName name="jw" localSheetId="5">jw</definedName>
    <definedName name="K" localSheetId="5">K</definedName>
    <definedName name="ll" localSheetId="5">ll</definedName>
    <definedName name="lm" localSheetId="5">lm</definedName>
    <definedName name="Payment_Number" localSheetId="5">ROW()-Header_Row</definedName>
    <definedName name="Q" localSheetId="5">Q</definedName>
    <definedName name="tr" localSheetId="5">tr</definedName>
    <definedName name="WWW" localSheetId="5">WWW</definedName>
    <definedName name="共和国发挥搞活" localSheetId="5">共和国发挥搞活</definedName>
    <definedName name="号" localSheetId="5">号</definedName>
    <definedName name="宏7" localSheetId="5">宏7</definedName>
    <definedName name="宏8" localSheetId="5">宏8</definedName>
    <definedName name="金" localSheetId="5">金</definedName>
    <definedName name="金2" localSheetId="5">金2</definedName>
    <definedName name="金了" localSheetId="5">金了</definedName>
    <definedName name="鑫" localSheetId="5">鑫</definedName>
    <definedName name="aaa" localSheetId="6">aaa</definedName>
    <definedName name="abc" localSheetId="6">abc</definedName>
    <definedName name="d" localSheetId="6">d</definedName>
    <definedName name="fr" localSheetId="6">fr</definedName>
    <definedName name="gt" localSheetId="6">gt</definedName>
    <definedName name="j" localSheetId="6">j</definedName>
    <definedName name="JHH" localSheetId="6">JHH</definedName>
    <definedName name="jw" localSheetId="6">jw</definedName>
    <definedName name="K" localSheetId="6">K</definedName>
    <definedName name="ll" localSheetId="6">ll</definedName>
    <definedName name="lm" localSheetId="6">lm</definedName>
    <definedName name="Payment_Number" localSheetId="6">ROW()-Header_Row</definedName>
    <definedName name="_xlnm.Print_Area" localSheetId="6">'4-6-1房屋建筑物'!$A$1:$R$29</definedName>
    <definedName name="_xlnm.Print_Titles" localSheetId="6">'4-6-1房屋建筑物'!$1:$7</definedName>
    <definedName name="Q" localSheetId="6">Q</definedName>
    <definedName name="tr" localSheetId="6">tr</definedName>
    <definedName name="WWW" localSheetId="6">WWW</definedName>
    <definedName name="共和国发挥搞活" localSheetId="6">共和国发挥搞活</definedName>
    <definedName name="号" localSheetId="6">号</definedName>
    <definedName name="宏7" localSheetId="6">宏7</definedName>
    <definedName name="宏8" localSheetId="6">宏8</definedName>
    <definedName name="金" localSheetId="6">金</definedName>
    <definedName name="金2" localSheetId="6">金2</definedName>
    <definedName name="金了" localSheetId="6">金了</definedName>
    <definedName name="鑫" localSheetId="6">鑫</definedName>
    <definedName name="aaa" localSheetId="2">aaa</definedName>
    <definedName name="abc" localSheetId="2">abc</definedName>
    <definedName name="d" localSheetId="2">d</definedName>
    <definedName name="fr" localSheetId="2">fr</definedName>
    <definedName name="gt" localSheetId="2">gt</definedName>
    <definedName name="j" localSheetId="2">j</definedName>
    <definedName name="JHH" localSheetId="2">JHH</definedName>
    <definedName name="jw" localSheetId="2">jw</definedName>
    <definedName name="K" localSheetId="2">K</definedName>
    <definedName name="ll" localSheetId="2">ll</definedName>
    <definedName name="lm" localSheetId="2">lm</definedName>
    <definedName name="Payment_Number" localSheetId="2">ROW()-Header_Row</definedName>
    <definedName name="Q" localSheetId="2">Q</definedName>
    <definedName name="tr" localSheetId="2">tr</definedName>
    <definedName name="WWW" localSheetId="2">WWW</definedName>
    <definedName name="共和国发挥搞活" localSheetId="2">共和国发挥搞活</definedName>
    <definedName name="号" localSheetId="2">号</definedName>
    <definedName name="宏7" localSheetId="2">宏7</definedName>
    <definedName name="宏8" localSheetId="2">宏8</definedName>
    <definedName name="金" localSheetId="2">金</definedName>
    <definedName name="金2" localSheetId="2">金2</definedName>
    <definedName name="金了" localSheetId="2">金了</definedName>
    <definedName name="鑫" localSheetId="2">鑫</definedName>
    <definedName name="aaa" localSheetId="3">aaa</definedName>
    <definedName name="abc" localSheetId="3">abc</definedName>
    <definedName name="d" localSheetId="3">d</definedName>
    <definedName name="fr" localSheetId="3">fr</definedName>
    <definedName name="gt" localSheetId="3">gt</definedName>
    <definedName name="j" localSheetId="3">j</definedName>
    <definedName name="JHH" localSheetId="3">JHH</definedName>
    <definedName name="jw" localSheetId="3">jw</definedName>
    <definedName name="K" localSheetId="3">K</definedName>
    <definedName name="ll" localSheetId="3">ll</definedName>
    <definedName name="lm" localSheetId="3">lm</definedName>
    <definedName name="Payment_Number" localSheetId="3">ROW()-Header_Row</definedName>
    <definedName name="_xlnm.Print_Area" localSheetId="3">'3-9-2原材料'!$A$1:$M$28</definedName>
    <definedName name="_xlnm.Print_Titles" localSheetId="3">'3-9-2原材料'!$1:$7</definedName>
    <definedName name="Q" localSheetId="3">Q</definedName>
    <definedName name="tr" localSheetId="3">tr</definedName>
    <definedName name="WWW" localSheetId="3">WWW</definedName>
    <definedName name="共和国发挥搞活" localSheetId="3">共和国发挥搞活</definedName>
    <definedName name="号" localSheetId="3">号</definedName>
    <definedName name="宏7" localSheetId="3">宏7</definedName>
    <definedName name="宏8" localSheetId="3">宏8</definedName>
    <definedName name="金" localSheetId="3">金</definedName>
    <definedName name="金2" localSheetId="3">金2</definedName>
    <definedName name="金了" localSheetId="3">金了</definedName>
    <definedName name="鑫" localSheetId="3">鑫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<sst xmlns="http://schemas.openxmlformats.org/spreadsheetml/2006/main" count="206">
  <si>
    <r>
      <rPr>
        <sz val="18"/>
        <rFont val="黑体"/>
        <charset val="134"/>
      </rPr>
      <t>资产评估结果汇总表</t>
    </r>
  </si>
  <si>
    <r>
      <rPr>
        <sz val="11"/>
        <rFont val="宋体"/>
        <charset val="134"/>
      </rPr>
      <t>评估基准日：</t>
    </r>
    <r>
      <rPr>
        <sz val="11"/>
        <rFont val="Times New Roman"/>
        <charset val="134"/>
      </rPr>
      <t>2018</t>
    </r>
    <r>
      <rPr>
        <sz val="11"/>
        <rFont val="宋体"/>
        <charset val="134"/>
      </rPr>
      <t>年</t>
    </r>
    <r>
      <rPr>
        <sz val="11"/>
        <rFont val="Times New Roman"/>
        <charset val="134"/>
      </rPr>
      <t>10</t>
    </r>
    <r>
      <rPr>
        <sz val="11"/>
        <rFont val="宋体"/>
        <charset val="134"/>
      </rPr>
      <t>月</t>
    </r>
    <r>
      <rPr>
        <sz val="11"/>
        <rFont val="Times New Roman"/>
        <charset val="134"/>
      </rPr>
      <t>23</t>
    </r>
    <r>
      <rPr>
        <sz val="11"/>
        <rFont val="宋体"/>
        <charset val="134"/>
      </rPr>
      <t>日</t>
    </r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</si>
  <si>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1</t>
    </r>
  </si>
  <si>
    <t>被执行人：俞海敏</t>
  </si>
  <si>
    <t>金额单位：人民币万元</t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</si>
  <si>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           </t>
    </r>
    <r>
      <rPr>
        <sz val="11"/>
        <rFont val="宋体"/>
        <charset val="134"/>
      </rPr>
      <t>目</t>
    </r>
  </si>
  <si>
    <r>
      <rPr>
        <sz val="11"/>
        <rFont val="宋体"/>
        <charset val="134"/>
      </rPr>
      <t>账面价值</t>
    </r>
  </si>
  <si>
    <r>
      <rPr>
        <sz val="11"/>
        <rFont val="宋体"/>
        <charset val="134"/>
      </rPr>
      <t>评估价值</t>
    </r>
  </si>
  <si>
    <r>
      <rPr>
        <sz val="11"/>
        <rFont val="宋体"/>
        <charset val="134"/>
      </rPr>
      <t>增值额</t>
    </r>
  </si>
  <si>
    <r>
      <rPr>
        <sz val="11"/>
        <rFont val="宋体"/>
        <charset val="134"/>
      </rPr>
      <t>增值率％</t>
    </r>
  </si>
  <si>
    <t>A</t>
  </si>
  <si>
    <t>B</t>
  </si>
  <si>
    <r>
      <rPr>
        <sz val="11"/>
        <rFont val="Times New Roman"/>
        <charset val="134"/>
      </rPr>
      <t>C</t>
    </r>
    <r>
      <rPr>
        <b/>
        <sz val="11"/>
        <rFont val="Times New Roman"/>
        <charset val="134"/>
      </rPr>
      <t>=</t>
    </r>
    <r>
      <rPr>
        <sz val="11"/>
        <rFont val="Times New Roman"/>
        <charset val="134"/>
      </rPr>
      <t>B</t>
    </r>
    <r>
      <rPr>
        <b/>
        <sz val="11"/>
        <rFont val="Times New Roman"/>
        <charset val="134"/>
      </rPr>
      <t>-</t>
    </r>
    <r>
      <rPr>
        <sz val="11"/>
        <rFont val="Times New Roman"/>
        <charset val="134"/>
      </rPr>
      <t>A</t>
    </r>
  </si>
  <si>
    <r>
      <rPr>
        <sz val="11"/>
        <rFont val="Times New Roman"/>
        <charset val="134"/>
      </rPr>
      <t>D</t>
    </r>
    <r>
      <rPr>
        <b/>
        <sz val="11"/>
        <rFont val="Times New Roman"/>
        <charset val="134"/>
      </rPr>
      <t>=</t>
    </r>
    <r>
      <rPr>
        <sz val="11"/>
        <rFont val="Times New Roman"/>
        <charset val="134"/>
      </rPr>
      <t>C/A×100</t>
    </r>
  </si>
  <si>
    <r>
      <rPr>
        <sz val="11"/>
        <rFont val="宋体"/>
        <charset val="134"/>
      </rPr>
      <t>流动资产</t>
    </r>
  </si>
  <si>
    <r>
      <rPr>
        <sz val="11"/>
        <rFont val="宋体"/>
        <charset val="134"/>
      </rPr>
      <t>非流动资产</t>
    </r>
  </si>
  <si>
    <r>
      <rPr>
        <sz val="11"/>
        <rFont val="宋体"/>
        <charset val="134"/>
      </rPr>
      <t>其中：可供出售金融资产</t>
    </r>
  </si>
  <si>
    <r>
      <rPr>
        <sz val="11"/>
        <rFont val="宋体"/>
        <charset val="134"/>
      </rPr>
      <t>持有至到期投资</t>
    </r>
  </si>
  <si>
    <r>
      <rPr>
        <sz val="11"/>
        <rFont val="宋体"/>
        <charset val="134"/>
      </rPr>
      <t>长期应收款</t>
    </r>
  </si>
  <si>
    <r>
      <rPr>
        <sz val="11"/>
        <rFont val="宋体"/>
        <charset val="134"/>
      </rPr>
      <t>长期股权投资</t>
    </r>
  </si>
  <si>
    <r>
      <rPr>
        <sz val="11"/>
        <rFont val="宋体"/>
        <charset val="134"/>
      </rPr>
      <t>投资性房地产</t>
    </r>
  </si>
  <si>
    <r>
      <rPr>
        <sz val="11"/>
        <rFont val="宋体"/>
        <charset val="134"/>
      </rPr>
      <t>固定资产</t>
    </r>
  </si>
  <si>
    <r>
      <rPr>
        <sz val="11"/>
        <rFont val="宋体"/>
        <charset val="134"/>
      </rPr>
      <t>在建工程</t>
    </r>
  </si>
  <si>
    <r>
      <rPr>
        <sz val="11"/>
        <rFont val="宋体"/>
        <charset val="134"/>
      </rPr>
      <t>工程物资</t>
    </r>
  </si>
  <si>
    <r>
      <rPr>
        <sz val="11"/>
        <rFont val="宋体"/>
        <charset val="134"/>
      </rPr>
      <t>固定资产清理</t>
    </r>
  </si>
  <si>
    <r>
      <rPr>
        <sz val="11"/>
        <rFont val="宋体"/>
        <charset val="134"/>
      </rPr>
      <t>生产性生物资产</t>
    </r>
  </si>
  <si>
    <r>
      <rPr>
        <sz val="11"/>
        <rFont val="宋体"/>
        <charset val="134"/>
      </rPr>
      <t>油气资产</t>
    </r>
  </si>
  <si>
    <r>
      <rPr>
        <sz val="11"/>
        <rFont val="宋体"/>
        <charset val="134"/>
      </rPr>
      <t>无形资产</t>
    </r>
  </si>
  <si>
    <r>
      <rPr>
        <sz val="11"/>
        <rFont val="宋体"/>
        <charset val="134"/>
      </rPr>
      <t>开发支出</t>
    </r>
  </si>
  <si>
    <r>
      <rPr>
        <sz val="11"/>
        <rFont val="宋体"/>
        <charset val="134"/>
      </rPr>
      <t>商誉</t>
    </r>
  </si>
  <si>
    <r>
      <rPr>
        <sz val="11"/>
        <rFont val="宋体"/>
        <charset val="134"/>
      </rPr>
      <t>长期待摊费用</t>
    </r>
  </si>
  <si>
    <r>
      <rPr>
        <sz val="11"/>
        <rFont val="宋体"/>
        <charset val="134"/>
      </rPr>
      <t>递延所得税资产</t>
    </r>
  </si>
  <si>
    <r>
      <rPr>
        <sz val="11"/>
        <rFont val="宋体"/>
        <charset val="134"/>
      </rPr>
      <t>其他非流动资产</t>
    </r>
  </si>
  <si>
    <t>资产总计</t>
  </si>
  <si>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流动负债</t>
    </r>
  </si>
  <si>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非流动负债</t>
    </r>
  </si>
  <si>
    <t>负债合计</t>
  </si>
  <si>
    <t>净资产（所有者权益）</t>
  </si>
  <si>
    <t>评估机构：天源资产评估有限公司</t>
  </si>
  <si>
    <r>
      <rPr>
        <sz val="18"/>
        <rFont val="黑体"/>
        <charset val="134"/>
      </rPr>
      <t>资产评估结果分类汇总表</t>
    </r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</si>
  <si>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2</t>
    </r>
  </si>
  <si>
    <t>被评估单位：俞海敏</t>
  </si>
  <si>
    <r>
      <rPr>
        <sz val="11"/>
        <rFont val="宋体"/>
        <charset val="134"/>
      </rPr>
      <t>金额单位：人民币元</t>
    </r>
  </si>
  <si>
    <r>
      <rPr>
        <sz val="11"/>
        <rFont val="宋体"/>
        <charset val="134"/>
      </rPr>
      <t>序号</t>
    </r>
  </si>
  <si>
    <r>
      <rPr>
        <sz val="11"/>
        <color indexed="8"/>
        <rFont val="宋体"/>
        <charset val="134"/>
      </rPr>
      <t>科目名称</t>
    </r>
  </si>
  <si>
    <r>
      <rPr>
        <sz val="11"/>
        <rFont val="宋体"/>
        <charset val="134"/>
      </rPr>
      <t>增值率</t>
    </r>
    <r>
      <rPr>
        <sz val="11"/>
        <rFont val="Times New Roman"/>
        <charset val="134"/>
      </rPr>
      <t>%</t>
    </r>
  </si>
  <si>
    <r>
      <rPr>
        <sz val="11"/>
        <rFont val="宋体"/>
        <charset val="134"/>
      </rPr>
      <t>账面差异</t>
    </r>
  </si>
  <si>
    <r>
      <rPr>
        <b/>
        <sz val="11"/>
        <rFont val="宋体"/>
        <charset val="134"/>
      </rPr>
      <t>一、流动资产合计</t>
    </r>
  </si>
  <si>
    <r>
      <rPr>
        <sz val="11"/>
        <color indexed="8"/>
        <rFont val="宋体"/>
        <charset val="134"/>
      </rPr>
      <t>货币资金</t>
    </r>
  </si>
  <si>
    <r>
      <rPr>
        <sz val="11"/>
        <color indexed="8"/>
        <rFont val="宋体"/>
        <charset val="134"/>
      </rPr>
      <t>交易性金融资产</t>
    </r>
  </si>
  <si>
    <r>
      <rPr>
        <sz val="11"/>
        <color indexed="8"/>
        <rFont val="宋体"/>
        <charset val="134"/>
      </rPr>
      <t>应收票据</t>
    </r>
  </si>
  <si>
    <r>
      <rPr>
        <sz val="11"/>
        <color indexed="8"/>
        <rFont val="宋体"/>
        <charset val="134"/>
      </rPr>
      <t>应收账款</t>
    </r>
  </si>
  <si>
    <r>
      <rPr>
        <sz val="11"/>
        <color indexed="8"/>
        <rFont val="宋体"/>
        <charset val="134"/>
      </rPr>
      <t>预付款项</t>
    </r>
  </si>
  <si>
    <r>
      <rPr>
        <sz val="11"/>
        <color indexed="8"/>
        <rFont val="宋体"/>
        <charset val="134"/>
      </rPr>
      <t>应收利息</t>
    </r>
  </si>
  <si>
    <r>
      <rPr>
        <sz val="11"/>
        <color indexed="8"/>
        <rFont val="宋体"/>
        <charset val="134"/>
      </rPr>
      <t>应收股利</t>
    </r>
  </si>
  <si>
    <r>
      <rPr>
        <sz val="11"/>
        <color indexed="8"/>
        <rFont val="宋体"/>
        <charset val="134"/>
      </rPr>
      <t>其他应收款</t>
    </r>
  </si>
  <si>
    <r>
      <rPr>
        <sz val="11"/>
        <color indexed="8"/>
        <rFont val="宋体"/>
        <charset val="134"/>
      </rPr>
      <t>存货</t>
    </r>
  </si>
  <si>
    <r>
      <rPr>
        <sz val="11"/>
        <color indexed="8"/>
        <rFont val="宋体"/>
        <charset val="134"/>
      </rPr>
      <t>一年内到期的非流动资产</t>
    </r>
  </si>
  <si>
    <r>
      <rPr>
        <sz val="11"/>
        <color indexed="8"/>
        <rFont val="宋体"/>
        <charset val="134"/>
      </rPr>
      <t>其他流动资产</t>
    </r>
  </si>
  <si>
    <r>
      <rPr>
        <b/>
        <sz val="11"/>
        <rFont val="宋体"/>
        <charset val="134"/>
      </rPr>
      <t>二、非流动资产合计</t>
    </r>
  </si>
  <si>
    <r>
      <rPr>
        <sz val="11"/>
        <color indexed="8"/>
        <rFont val="宋体"/>
        <charset val="134"/>
      </rPr>
      <t>可供出售金融资产</t>
    </r>
  </si>
  <si>
    <r>
      <rPr>
        <sz val="11"/>
        <color indexed="8"/>
        <rFont val="宋体"/>
        <charset val="134"/>
      </rPr>
      <t>持有至到期投资</t>
    </r>
  </si>
  <si>
    <r>
      <rPr>
        <sz val="11"/>
        <color indexed="8"/>
        <rFont val="宋体"/>
        <charset val="134"/>
      </rPr>
      <t>长期应收款</t>
    </r>
  </si>
  <si>
    <r>
      <rPr>
        <sz val="11"/>
        <color indexed="8"/>
        <rFont val="宋体"/>
        <charset val="134"/>
      </rPr>
      <t>长期股权投资</t>
    </r>
  </si>
  <si>
    <r>
      <rPr>
        <sz val="11"/>
        <color indexed="8"/>
        <rFont val="宋体"/>
        <charset val="134"/>
      </rPr>
      <t>投资性房地产</t>
    </r>
  </si>
  <si>
    <r>
      <rPr>
        <sz val="11"/>
        <color indexed="8"/>
        <rFont val="宋体"/>
        <charset val="134"/>
      </rPr>
      <t>在建工程</t>
    </r>
  </si>
  <si>
    <r>
      <rPr>
        <sz val="11"/>
        <color indexed="8"/>
        <rFont val="宋体"/>
        <charset val="134"/>
      </rPr>
      <t>工程物资</t>
    </r>
  </si>
  <si>
    <r>
      <rPr>
        <sz val="11"/>
        <color indexed="8"/>
        <rFont val="宋体"/>
        <charset val="134"/>
      </rPr>
      <t>固定资产清理</t>
    </r>
  </si>
  <si>
    <r>
      <rPr>
        <sz val="11"/>
        <color indexed="8"/>
        <rFont val="宋体"/>
        <charset val="134"/>
      </rPr>
      <t>生产性生物资产</t>
    </r>
  </si>
  <si>
    <r>
      <rPr>
        <sz val="11"/>
        <color indexed="8"/>
        <rFont val="宋体"/>
        <charset val="134"/>
      </rPr>
      <t>油气资产</t>
    </r>
  </si>
  <si>
    <r>
      <rPr>
        <sz val="11"/>
        <color indexed="8"/>
        <rFont val="宋体"/>
        <charset val="134"/>
      </rPr>
      <t>无形资产</t>
    </r>
  </si>
  <si>
    <r>
      <rPr>
        <sz val="11"/>
        <color indexed="8"/>
        <rFont val="宋体"/>
        <charset val="134"/>
      </rPr>
      <t>开发支出</t>
    </r>
  </si>
  <si>
    <r>
      <rPr>
        <sz val="11"/>
        <color indexed="8"/>
        <rFont val="宋体"/>
        <charset val="134"/>
      </rPr>
      <t>商誉</t>
    </r>
  </si>
  <si>
    <r>
      <rPr>
        <sz val="11"/>
        <color indexed="8"/>
        <rFont val="宋体"/>
        <charset val="134"/>
      </rPr>
      <t>长期待摊费用</t>
    </r>
  </si>
  <si>
    <r>
      <rPr>
        <sz val="11"/>
        <color indexed="8"/>
        <rFont val="宋体"/>
        <charset val="134"/>
      </rPr>
      <t>递延所得税资产</t>
    </r>
  </si>
  <si>
    <r>
      <rPr>
        <sz val="11"/>
        <color indexed="8"/>
        <rFont val="宋体"/>
        <charset val="134"/>
      </rPr>
      <t>其他非流动资产</t>
    </r>
  </si>
  <si>
    <r>
      <rPr>
        <b/>
        <sz val="11"/>
        <rFont val="宋体"/>
        <charset val="134"/>
      </rPr>
      <t>三、资产总计</t>
    </r>
  </si>
  <si>
    <r>
      <rPr>
        <b/>
        <sz val="11"/>
        <rFont val="宋体"/>
        <charset val="134"/>
      </rPr>
      <t>四、流动负债合计</t>
    </r>
  </si>
  <si>
    <r>
      <rPr>
        <sz val="11"/>
        <color indexed="8"/>
        <rFont val="宋体"/>
        <charset val="134"/>
      </rPr>
      <t>短期借款</t>
    </r>
  </si>
  <si>
    <r>
      <rPr>
        <sz val="11"/>
        <color indexed="8"/>
        <rFont val="宋体"/>
        <charset val="134"/>
      </rPr>
      <t>交易性金融负债</t>
    </r>
  </si>
  <si>
    <r>
      <rPr>
        <sz val="11"/>
        <color indexed="8"/>
        <rFont val="宋体"/>
        <charset val="134"/>
      </rPr>
      <t>应付票据</t>
    </r>
  </si>
  <si>
    <r>
      <rPr>
        <sz val="11"/>
        <color indexed="8"/>
        <rFont val="宋体"/>
        <charset val="134"/>
      </rPr>
      <t>应付账款</t>
    </r>
  </si>
  <si>
    <r>
      <rPr>
        <sz val="11"/>
        <color indexed="8"/>
        <rFont val="宋体"/>
        <charset val="134"/>
      </rPr>
      <t>预收款项</t>
    </r>
  </si>
  <si>
    <r>
      <rPr>
        <sz val="11"/>
        <color indexed="8"/>
        <rFont val="宋体"/>
        <charset val="134"/>
      </rPr>
      <t>应付职工薪酬</t>
    </r>
  </si>
  <si>
    <r>
      <rPr>
        <sz val="11"/>
        <color indexed="8"/>
        <rFont val="宋体"/>
        <charset val="134"/>
      </rPr>
      <t>应交税费</t>
    </r>
  </si>
  <si>
    <r>
      <rPr>
        <sz val="11"/>
        <color indexed="8"/>
        <rFont val="宋体"/>
        <charset val="134"/>
      </rPr>
      <t>应付利息</t>
    </r>
  </si>
  <si>
    <r>
      <rPr>
        <sz val="11"/>
        <color indexed="8"/>
        <rFont val="宋体"/>
        <charset val="134"/>
      </rPr>
      <t>应付股利</t>
    </r>
  </si>
  <si>
    <r>
      <rPr>
        <sz val="11"/>
        <color indexed="8"/>
        <rFont val="宋体"/>
        <charset val="134"/>
      </rPr>
      <t>其他应付款</t>
    </r>
  </si>
  <si>
    <r>
      <rPr>
        <sz val="11"/>
        <color indexed="8"/>
        <rFont val="宋体"/>
        <charset val="134"/>
      </rPr>
      <t>一年内到期的非流动负债</t>
    </r>
  </si>
  <si>
    <r>
      <rPr>
        <sz val="11"/>
        <color indexed="8"/>
        <rFont val="宋体"/>
        <charset val="134"/>
      </rPr>
      <t>其他流动负债</t>
    </r>
  </si>
  <si>
    <r>
      <rPr>
        <b/>
        <sz val="11"/>
        <rFont val="宋体"/>
        <charset val="134"/>
      </rPr>
      <t>五、非流动负债合计</t>
    </r>
  </si>
  <si>
    <r>
      <rPr>
        <sz val="11"/>
        <color indexed="8"/>
        <rFont val="宋体"/>
        <charset val="134"/>
      </rPr>
      <t>长期借款</t>
    </r>
  </si>
  <si>
    <r>
      <rPr>
        <sz val="11"/>
        <color indexed="8"/>
        <rFont val="宋体"/>
        <charset val="134"/>
      </rPr>
      <t>应付债券</t>
    </r>
  </si>
  <si>
    <r>
      <rPr>
        <sz val="11"/>
        <color indexed="8"/>
        <rFont val="宋体"/>
        <charset val="134"/>
      </rPr>
      <t>长期应付款</t>
    </r>
  </si>
  <si>
    <r>
      <rPr>
        <sz val="11"/>
        <color indexed="8"/>
        <rFont val="宋体"/>
        <charset val="134"/>
      </rPr>
      <t>专项应付款</t>
    </r>
  </si>
  <si>
    <r>
      <rPr>
        <sz val="11"/>
        <color indexed="8"/>
        <rFont val="宋体"/>
        <charset val="134"/>
      </rPr>
      <t>预计负债</t>
    </r>
  </si>
  <si>
    <r>
      <rPr>
        <sz val="11"/>
        <color indexed="8"/>
        <rFont val="宋体"/>
        <charset val="134"/>
      </rPr>
      <t>递延所得税负债</t>
    </r>
  </si>
  <si>
    <r>
      <rPr>
        <sz val="11"/>
        <color indexed="8"/>
        <rFont val="宋体"/>
        <charset val="134"/>
      </rPr>
      <t>其他非流动负债</t>
    </r>
  </si>
  <si>
    <r>
      <rPr>
        <b/>
        <sz val="11"/>
        <rFont val="宋体"/>
        <charset val="134"/>
      </rPr>
      <t>六、负债总计</t>
    </r>
  </si>
  <si>
    <r>
      <rPr>
        <b/>
        <sz val="11"/>
        <rFont val="宋体"/>
        <charset val="134"/>
      </rPr>
      <t>七、净资产（所有者权益）</t>
    </r>
  </si>
  <si>
    <r>
      <rPr>
        <sz val="18"/>
        <rFont val="黑体"/>
        <charset val="134"/>
      </rPr>
      <t>存货评估汇总表</t>
    </r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</si>
  <si>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3-9</t>
    </r>
  </si>
  <si>
    <r>
      <rPr>
        <sz val="11"/>
        <rFont val="宋体"/>
        <charset val="134"/>
      </rPr>
      <t>编号</t>
    </r>
  </si>
  <si>
    <r>
      <rPr>
        <sz val="11"/>
        <rFont val="宋体"/>
        <charset val="134"/>
      </rPr>
      <t>科目名称</t>
    </r>
  </si>
  <si>
    <t>3-9-1</t>
  </si>
  <si>
    <r>
      <rPr>
        <sz val="11"/>
        <rFont val="宋体"/>
        <charset val="134"/>
      </rPr>
      <t>材料采购（在途物资）</t>
    </r>
  </si>
  <si>
    <t>3-9-2</t>
  </si>
  <si>
    <r>
      <rPr>
        <sz val="11"/>
        <rFont val="宋体"/>
        <charset val="134"/>
      </rPr>
      <t>原材料</t>
    </r>
  </si>
  <si>
    <t>3-9-3</t>
  </si>
  <si>
    <r>
      <rPr>
        <sz val="11"/>
        <rFont val="宋体"/>
        <charset val="134"/>
      </rPr>
      <t>在库周转材料</t>
    </r>
  </si>
  <si>
    <t>3-9-4</t>
  </si>
  <si>
    <r>
      <rPr>
        <sz val="11"/>
        <rFont val="宋体"/>
        <charset val="134"/>
      </rPr>
      <t>委托加工物资</t>
    </r>
  </si>
  <si>
    <t>3-9-5</t>
  </si>
  <si>
    <r>
      <rPr>
        <sz val="11"/>
        <rFont val="宋体"/>
        <charset val="134"/>
      </rPr>
      <t>产成品（库存商品）</t>
    </r>
  </si>
  <si>
    <t>3-9-6</t>
  </si>
  <si>
    <r>
      <rPr>
        <sz val="11"/>
        <rFont val="宋体"/>
        <charset val="134"/>
      </rPr>
      <t>在产品（自制半成品）</t>
    </r>
  </si>
  <si>
    <t>3-9-7</t>
  </si>
  <si>
    <r>
      <rPr>
        <sz val="11"/>
        <rFont val="宋体"/>
        <charset val="134"/>
      </rPr>
      <t>发出商品</t>
    </r>
  </si>
  <si>
    <t>3-9-8</t>
  </si>
  <si>
    <r>
      <rPr>
        <sz val="11"/>
        <rFont val="宋体"/>
        <charset val="134"/>
      </rPr>
      <t>在用周转材料</t>
    </r>
  </si>
  <si>
    <r>
      <rPr>
        <sz val="11"/>
        <rFont val="宋体"/>
        <charset val="134"/>
      </rPr>
      <t>合</t>
    </r>
    <r>
      <rPr>
        <sz val="11"/>
        <rFont val="Times New Roman"/>
        <charset val="134"/>
      </rPr>
      <t xml:space="preserve">      </t>
    </r>
    <r>
      <rPr>
        <sz val="11"/>
        <rFont val="宋体"/>
        <charset val="134"/>
      </rPr>
      <t>计</t>
    </r>
  </si>
  <si>
    <r>
      <rPr>
        <sz val="11"/>
        <rFont val="宋体"/>
        <charset val="134"/>
      </rPr>
      <t>减：存货跌价准备</t>
    </r>
  </si>
  <si>
    <t>评估人员：王冰、武亚斌</t>
  </si>
  <si>
    <t>存货—原材料评估明细表</t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</si>
  <si>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3-9-2</t>
    </r>
  </si>
  <si>
    <r>
      <rPr>
        <sz val="11"/>
        <rFont val="宋体"/>
        <charset val="134"/>
      </rPr>
      <t>名称及规格型号</t>
    </r>
  </si>
  <si>
    <r>
      <rPr>
        <sz val="11"/>
        <rFont val="宋体"/>
        <charset val="134"/>
      </rPr>
      <t>计量单位</t>
    </r>
  </si>
  <si>
    <r>
      <rPr>
        <sz val="11"/>
        <rFont val="宋体"/>
        <charset val="134"/>
      </rPr>
      <t>存放地点</t>
    </r>
  </si>
  <si>
    <t>实际数量</t>
  </si>
  <si>
    <t>评估价值</t>
  </si>
  <si>
    <r>
      <rPr>
        <sz val="11"/>
        <rFont val="宋体"/>
        <charset val="134"/>
      </rPr>
      <t>备注</t>
    </r>
  </si>
  <si>
    <r>
      <rPr>
        <sz val="11"/>
        <rFont val="宋体"/>
        <charset val="134"/>
      </rPr>
      <t>数量</t>
    </r>
  </si>
  <si>
    <r>
      <rPr>
        <sz val="11"/>
        <rFont val="宋体"/>
        <charset val="134"/>
      </rPr>
      <t>单价</t>
    </r>
  </si>
  <si>
    <r>
      <rPr>
        <sz val="11"/>
        <rFont val="宋体"/>
        <charset val="134"/>
      </rPr>
      <t>金额</t>
    </r>
  </si>
  <si>
    <r>
      <rPr>
        <sz val="11"/>
        <rFont val="宋体"/>
        <charset val="134"/>
      </rPr>
      <t>评估单价</t>
    </r>
  </si>
  <si>
    <t>1</t>
  </si>
  <si>
    <t>地砖300mm*600mm</t>
  </si>
  <si>
    <t>块</t>
  </si>
  <si>
    <t>2</t>
  </si>
  <si>
    <t>墙砖300mm*600mm</t>
  </si>
  <si>
    <t>墙砖300mm*300mm</t>
  </si>
  <si>
    <t>4</t>
  </si>
  <si>
    <t>地砖300mm*300mm</t>
  </si>
  <si>
    <t>5</t>
  </si>
  <si>
    <t>中财电工套管PVC-U电工套管φ=40mm L=3m</t>
  </si>
  <si>
    <t>根</t>
  </si>
  <si>
    <t>中财电工套管PVC-U电工套管φ=20mm L=3m</t>
  </si>
  <si>
    <r>
      <rPr>
        <sz val="11"/>
        <rFont val="宋体"/>
        <charset val="134"/>
      </rPr>
      <t>余额合</t>
    </r>
    <r>
      <rPr>
        <sz val="11"/>
        <rFont val="宋体"/>
        <charset val="134"/>
      </rPr>
      <t>计</t>
    </r>
  </si>
  <si>
    <t>减：存货跌价准备</t>
  </si>
  <si>
    <t>净额合计</t>
  </si>
  <si>
    <r>
      <rPr>
        <sz val="18"/>
        <rFont val="黑体"/>
        <charset val="134"/>
      </rPr>
      <t>非流动资产评估汇总表</t>
    </r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</si>
  <si>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4</t>
    </r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</si>
  <si>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</si>
  <si>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</si>
  <si>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</si>
  <si>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</si>
  <si>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</si>
  <si>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</si>
  <si>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</si>
  <si>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</si>
  <si>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</si>
  <si>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</si>
  <si>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</si>
  <si>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</si>
  <si>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</si>
  <si>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</si>
  <si>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</si>
  <si>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</si>
  <si>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</si>
  <si>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r>
      <rPr>
        <sz val="11"/>
        <rFont val="宋体"/>
        <charset val="134"/>
      </rPr>
      <t>合</t>
    </r>
    <r>
      <rPr>
        <sz val="11"/>
        <rFont val="Times New Roman"/>
        <charset val="134"/>
      </rPr>
      <t xml:space="preserve">            </t>
    </r>
    <r>
      <rPr>
        <sz val="11"/>
        <rFont val="宋体"/>
        <charset val="134"/>
      </rPr>
      <t>计</t>
    </r>
  </si>
  <si>
    <t>评估人员：</t>
  </si>
  <si>
    <t>固定资产评估汇总表</t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</si>
  <si>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4-6</t>
    </r>
  </si>
  <si>
    <t>被执行人（被评估单位）：俞海敏</t>
  </si>
  <si>
    <r>
      <rPr>
        <sz val="11"/>
        <rFont val="宋体"/>
        <charset val="134"/>
      </rPr>
      <t>原值</t>
    </r>
  </si>
  <si>
    <r>
      <rPr>
        <sz val="11"/>
        <rFont val="宋体"/>
        <charset val="134"/>
      </rPr>
      <t>净值</t>
    </r>
  </si>
  <si>
    <r>
      <rPr>
        <sz val="11"/>
        <color indexed="8"/>
        <rFont val="宋体"/>
        <charset val="134"/>
      </rPr>
      <t>房屋建筑物类合计</t>
    </r>
  </si>
  <si>
    <t>4-6-1</t>
  </si>
  <si>
    <r>
      <rPr>
        <sz val="11"/>
        <color indexed="8"/>
        <rFont val="宋体"/>
        <charset val="134"/>
      </rPr>
      <t>固定资产</t>
    </r>
    <r>
      <rPr>
        <sz val="11"/>
        <color indexed="8"/>
        <rFont val="Times New Roman"/>
        <charset val="134"/>
      </rPr>
      <t>-</t>
    </r>
    <r>
      <rPr>
        <sz val="11"/>
        <color indexed="8"/>
        <rFont val="宋体"/>
        <charset val="134"/>
      </rPr>
      <t>房屋建筑物</t>
    </r>
  </si>
  <si>
    <t>4-6-2</t>
  </si>
  <si>
    <r>
      <rPr>
        <sz val="11"/>
        <color indexed="8"/>
        <rFont val="宋体"/>
        <charset val="134"/>
      </rPr>
      <t>固定资产</t>
    </r>
    <r>
      <rPr>
        <sz val="11"/>
        <color indexed="8"/>
        <rFont val="Times New Roman"/>
        <charset val="134"/>
      </rPr>
      <t>-</t>
    </r>
    <r>
      <rPr>
        <sz val="11"/>
        <color indexed="8"/>
        <rFont val="宋体"/>
        <charset val="134"/>
      </rPr>
      <t>构筑物及其他辅助设施</t>
    </r>
  </si>
  <si>
    <t>4-6-3</t>
  </si>
  <si>
    <r>
      <rPr>
        <sz val="11"/>
        <color indexed="8"/>
        <rFont val="宋体"/>
        <charset val="134"/>
      </rPr>
      <t>固定资产</t>
    </r>
    <r>
      <rPr>
        <sz val="11"/>
        <color indexed="8"/>
        <rFont val="Times New Roman"/>
        <charset val="134"/>
      </rPr>
      <t>-</t>
    </r>
    <r>
      <rPr>
        <sz val="11"/>
        <color indexed="8"/>
        <rFont val="宋体"/>
        <charset val="134"/>
      </rPr>
      <t>管道及沟槽</t>
    </r>
  </si>
  <si>
    <r>
      <rPr>
        <sz val="11"/>
        <color indexed="8"/>
        <rFont val="宋体"/>
        <charset val="134"/>
      </rPr>
      <t>设备类合计</t>
    </r>
  </si>
  <si>
    <t>4-6-4</t>
  </si>
  <si>
    <r>
      <rPr>
        <sz val="11"/>
        <color indexed="8"/>
        <rFont val="宋体"/>
        <charset val="134"/>
      </rPr>
      <t>固定资产</t>
    </r>
    <r>
      <rPr>
        <sz val="11"/>
        <color indexed="8"/>
        <rFont val="Times New Roman"/>
        <charset val="134"/>
      </rPr>
      <t>-</t>
    </r>
    <r>
      <rPr>
        <sz val="11"/>
        <color indexed="8"/>
        <rFont val="宋体"/>
        <charset val="134"/>
      </rPr>
      <t>机器设备</t>
    </r>
  </si>
  <si>
    <r>
      <rPr>
        <sz val="11"/>
        <color indexed="8"/>
        <rFont val="宋体"/>
        <charset val="134"/>
      </rPr>
      <t>固定资产合计</t>
    </r>
  </si>
  <si>
    <r>
      <rPr>
        <sz val="11"/>
        <rFont val="宋体"/>
        <charset val="134"/>
      </rPr>
      <t>减：固定资产减值准备</t>
    </r>
  </si>
  <si>
    <t>固定资产—房屋建筑物评估明细表</t>
  </si>
  <si>
    <r>
      <rPr>
        <sz val="11"/>
        <rFont val="宋体"/>
        <charset val="134"/>
      </rPr>
      <t>表</t>
    </r>
    <r>
      <rPr>
        <sz val="11"/>
        <rFont val="Times New Roman"/>
        <charset val="134"/>
      </rPr>
      <t>4-6-1</t>
    </r>
  </si>
  <si>
    <r>
      <rPr>
        <sz val="11"/>
        <rFont val="宋体"/>
        <charset val="134"/>
      </rPr>
      <t>权证编号</t>
    </r>
  </si>
  <si>
    <r>
      <rPr>
        <sz val="11"/>
        <rFont val="宋体"/>
        <charset val="134"/>
      </rPr>
      <t>建筑物名称</t>
    </r>
  </si>
  <si>
    <r>
      <rPr>
        <sz val="11"/>
        <rFont val="宋体"/>
        <charset val="134"/>
      </rPr>
      <t>结构</t>
    </r>
  </si>
  <si>
    <r>
      <rPr>
        <sz val="11"/>
        <rFont val="宋体"/>
        <charset val="134"/>
      </rPr>
      <t>建成
年月</t>
    </r>
  </si>
  <si>
    <r>
      <rPr>
        <sz val="11"/>
        <rFont val="宋体"/>
        <charset val="134"/>
      </rPr>
      <t>建筑面积</t>
    </r>
    <r>
      <rPr>
        <sz val="11"/>
        <rFont val="Times New Roman"/>
        <charset val="134"/>
      </rPr>
      <t>(m2)</t>
    </r>
  </si>
  <si>
    <r>
      <rPr>
        <sz val="11"/>
        <rFont val="宋体"/>
        <charset val="134"/>
      </rPr>
      <t>土地使用权面积</t>
    </r>
    <r>
      <rPr>
        <sz val="11"/>
        <rFont val="Times New Roman"/>
        <charset val="134"/>
      </rPr>
      <t>(m2)</t>
    </r>
  </si>
  <si>
    <r>
      <rPr>
        <sz val="11"/>
        <rFont val="宋体"/>
        <charset val="134"/>
      </rPr>
      <t>评估单价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元</t>
    </r>
    <r>
      <rPr>
        <sz val="11"/>
        <rFont val="Times New Roman"/>
        <charset val="134"/>
      </rPr>
      <t>/m2)</t>
    </r>
  </si>
  <si>
    <r>
      <rPr>
        <sz val="11"/>
        <rFont val="宋体"/>
        <charset val="134"/>
      </rPr>
      <t>成新率</t>
    </r>
    <r>
      <rPr>
        <sz val="11"/>
        <rFont val="Times New Roman"/>
        <charset val="134"/>
      </rPr>
      <t>%</t>
    </r>
  </si>
  <si>
    <r>
      <rPr>
        <sz val="11"/>
        <rFont val="宋体"/>
        <charset val="134"/>
      </rPr>
      <t>浙（</t>
    </r>
    <r>
      <rPr>
        <sz val="11"/>
        <rFont val="Times New Roman"/>
        <charset val="134"/>
      </rPr>
      <t>2017</t>
    </r>
    <r>
      <rPr>
        <sz val="11"/>
        <rFont val="宋体"/>
        <charset val="134"/>
      </rPr>
      <t>）余杭区不动产权第</t>
    </r>
    <r>
      <rPr>
        <sz val="11"/>
        <rFont val="Times New Roman"/>
        <charset val="134"/>
      </rPr>
      <t>0062699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</si>
  <si>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余杭区仁和街道清合嘉园西区</t>
    </r>
    <r>
      <rPr>
        <sz val="11"/>
        <rFont val="Times New Roman"/>
        <charset val="134"/>
      </rPr>
      <t>34</t>
    </r>
    <r>
      <rPr>
        <sz val="11"/>
        <rFont val="宋体"/>
        <charset val="134"/>
      </rPr>
      <t>幢3单元</t>
    </r>
    <r>
      <rPr>
        <sz val="11"/>
        <rFont val="Times New Roman"/>
        <charset val="134"/>
      </rPr>
      <t>202</t>
    </r>
    <r>
      <rPr>
        <sz val="11"/>
        <rFont val="宋体"/>
        <charset val="134"/>
      </rPr>
      <t>室</t>
    </r>
  </si>
  <si>
    <t>钢混</t>
  </si>
  <si>
    <r>
      <rPr>
        <sz val="11"/>
        <rFont val="Times New Roman"/>
        <charset val="134"/>
      </rPr>
      <t>2005</t>
    </r>
    <r>
      <rPr>
        <sz val="11"/>
        <rFont val="宋体"/>
        <charset val="134"/>
      </rPr>
      <t>年</t>
    </r>
  </si>
  <si>
    <t>㎡</t>
  </si>
  <si>
    <t/>
  </si>
  <si>
    <r>
      <rPr>
        <sz val="11"/>
        <rFont val="宋体"/>
        <charset val="134"/>
      </rPr>
      <t>合</t>
    </r>
    <r>
      <rPr>
        <sz val="11"/>
        <rFont val="Times New Roman"/>
        <charset val="134"/>
      </rPr>
      <t xml:space="preserve">     </t>
    </r>
    <r>
      <rPr>
        <sz val="11"/>
        <rFont val="宋体"/>
        <charset val="134"/>
      </rPr>
      <t>计</t>
    </r>
  </si>
  <si>
    <r>
      <rPr>
        <sz val="11"/>
        <rFont val="宋体"/>
        <charset val="134"/>
      </rPr>
      <t>减：房屋建筑物减值准备</t>
    </r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</si>
</sst>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"/>
    <numFmt numFmtId="177" formatCode="0.00_);[Red]\(0.00\)"/>
    <numFmt numFmtId="178" formatCode="#,##0.00_ "/>
    <numFmt numFmtId="179" formatCode="#,##0_ "/>
  </numFmts>
  <fonts count="38">
    <font>
      <sz val="12"/>
      <name val="Times New Roman"/>
      <charset val="134"/>
    </font>
    <font>
      <sz val="18"/>
      <name val="Times New Roman"/>
      <charset val="134"/>
    </font>
    <font>
      <sz val="11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sz val="11"/>
      <color theme="0"/>
      <name val="Times New Roman"/>
      <charset val="134"/>
    </font>
    <font>
      <sz val="11"/>
      <name val="宋体"/>
      <charset val="134"/>
    </font>
    <font>
      <sz val="9"/>
      <name val="Times New Roman"/>
      <charset val="134"/>
    </font>
    <font>
      <sz val="18"/>
      <name val="黑体"/>
      <charset val="134"/>
    </font>
    <font>
      <sz val="11"/>
      <color indexed="8"/>
      <name val="Times New Roman"/>
      <charset val="134"/>
    </font>
    <font>
      <b/>
      <sz val="16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b/>
      <sz val="12"/>
      <name val="Times New Roman"/>
      <charset val="134"/>
    </font>
    <font>
      <sz val="20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0"/>
      <name val="宋体"/>
      <charset val="134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NumberForma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4" fillId="12" borderId="10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16" fillId="30" borderId="15" applyNumberFormat="0" applyFon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31" fillId="27" borderId="13" applyNumberForma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3" fillId="0" borderId="0"/>
  </cellStyleXfs>
  <cellXfs count="1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Continuous" vertical="center" wrapText="1"/>
    </xf>
    <xf numFmtId="0" fontId="1" fillId="0" borderId="0" xfId="0" applyFont="1" applyAlignment="1">
      <alignment horizontal="centerContinuous" vertical="center" wrapText="1"/>
    </xf>
    <xf numFmtId="177" fontId="2" fillId="0" borderId="0" xfId="0" applyNumberFormat="1" applyFont="1" applyAlignment="1">
      <alignment horizontal="centerContinuous" vertical="center"/>
    </xf>
    <xf numFmtId="177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5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5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7" fillId="0" borderId="7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Continuous" vertical="center" wrapText="1"/>
    </xf>
    <xf numFmtId="0" fontId="2" fillId="0" borderId="0" xfId="0" applyNumberFormat="1" applyFont="1" applyAlignment="1">
      <alignment horizontal="centerContinuous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6" xfId="10" applyFont="1" applyBorder="1" applyAlignment="1" applyProtection="1">
      <alignment vertical="center"/>
    </xf>
    <xf numFmtId="0" fontId="2" fillId="0" borderId="6" xfId="0" applyFont="1" applyBorder="1" applyAlignment="1" applyProtection="1">
      <alignment vertical="center"/>
    </xf>
    <xf numFmtId="0" fontId="9" fillId="0" borderId="4" xfId="10" applyFont="1" applyBorder="1" applyAlignment="1" applyProtection="1">
      <alignment horizontal="center" vertical="center"/>
    </xf>
    <xf numFmtId="0" fontId="9" fillId="0" borderId="6" xfId="10" applyFont="1" applyBorder="1" applyAlignment="1" applyProtection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right" vertical="center"/>
    </xf>
    <xf numFmtId="178" fontId="2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Continuous" vertical="center"/>
    </xf>
    <xf numFmtId="177" fontId="2" fillId="0" borderId="0" xfId="0" applyNumberFormat="1" applyFont="1" applyAlignment="1">
      <alignment horizontal="right" vertical="center"/>
    </xf>
    <xf numFmtId="49" fontId="2" fillId="0" borderId="0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9" fillId="0" borderId="6" xfId="10" applyFont="1" applyBorder="1" applyAlignment="1" applyProtection="1">
      <alignment horizontal="left" vertical="center" indent="1"/>
    </xf>
    <xf numFmtId="178" fontId="2" fillId="0" borderId="3" xfId="0" applyNumberFormat="1" applyFont="1" applyBorder="1" applyAlignment="1">
      <alignment horizontal="right" vertical="center"/>
    </xf>
    <xf numFmtId="0" fontId="2" fillId="0" borderId="6" xfId="10" applyFont="1" applyBorder="1" applyAlignment="1" applyProtection="1">
      <alignment horizontal="left" vertical="center" inden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13" applyFont="1" applyFill="1" applyAlignment="1">
      <alignment vertical="center"/>
    </xf>
    <xf numFmtId="0" fontId="2" fillId="0" borderId="0" xfId="13" applyFont="1" applyFill="1" applyAlignment="1">
      <alignment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49" fontId="6" fillId="0" borderId="3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179" fontId="2" fillId="0" borderId="1" xfId="0" applyNumberFormat="1" applyFont="1" applyFill="1" applyBorder="1" applyAlignment="1" applyProtection="1">
      <alignment horizontal="right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7" fontId="6" fillId="0" borderId="8" xfId="0" applyNumberFormat="1" applyFont="1" applyBorder="1" applyAlignment="1">
      <alignment horizontal="left" vertical="center"/>
    </xf>
    <xf numFmtId="177" fontId="2" fillId="0" borderId="8" xfId="0" applyNumberFormat="1" applyFont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1" fillId="0" borderId="6" xfId="10" applyFont="1" applyBorder="1" applyAlignment="1" applyProtection="1">
      <alignment horizontal="left" vertical="center"/>
    </xf>
    <xf numFmtId="178" fontId="11" fillId="0" borderId="1" xfId="0" applyNumberFormat="1" applyFont="1" applyBorder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7" fillId="0" borderId="7" xfId="0" applyFont="1" applyBorder="1" applyAlignment="1">
      <alignment horizontal="left" vertical="center" indent="15"/>
    </xf>
    <xf numFmtId="0" fontId="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/>
    <xf numFmtId="0" fontId="13" fillId="0" borderId="0" xfId="0" applyFont="1"/>
    <xf numFmtId="0" fontId="0" fillId="0" borderId="0" xfId="0" applyFont="1"/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vertical="center"/>
    </xf>
    <xf numFmtId="0" fontId="2" fillId="0" borderId="1" xfId="10" applyFont="1" applyBorder="1" applyAlignment="1" applyProtection="1">
      <alignment vertical="center"/>
    </xf>
    <xf numFmtId="0" fontId="2" fillId="0" borderId="1" xfId="10" applyFont="1" applyFill="1" applyBorder="1" applyAlignment="1" applyProtection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_存货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评估空白套表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48.151\2007&#39033;&#30446;\&#20803;&#36890;&#26426;&#30005;\&#23457;&#35745;(07.8)\&#35797;&#31639;&#34920;\0001&#29289;&#20135;&#20803;&#36890;&#26412;&#37096;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48.151\DOCUME~1\IBM-69\LOCALS~1\Temp\&#37329;&#21033;&#21326;07&#24180;11&#26376;T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4037;&#20316;&#39033;&#30446;\&#26631;&#20934;&#26684;&#24335;\&#23457;&#35745;\&#31354;&#30333;&#24037;&#20316;&#24213;&#31295;\&#25191;&#19994;&#35268;&#31243;\&#26032;&#25191;&#19994;&#35268;&#31243;\&#23548;&#24341;&#34920;\EXCEL\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4037;&#20316;&#39033;&#30446;\&#26631;&#20934;&#26684;&#24335;\&#23457;&#35745;\&#31354;&#30333;&#24037;&#20316;&#24213;&#31295;\Auditing\2002&#24180;&#24230;&#23457;&#35745;\&#22823;&#19996;&#21335;\2000-2002&#35797;&#31639;&#34920;\2000-2002&#35797;&#31639;&#34920;\&#24800;&#30427;2002&#24180;&#35797;&#3163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4037;&#20316;&#39033;&#30446;\&#26631;&#20934;&#26684;&#24335;\&#23457;&#35745;\&#31354;&#30333;&#24037;&#20316;&#24213;&#31295;\&#25191;&#19994;&#35268;&#31243;\&#26032;&#25191;&#19994;&#35268;&#31243;\&#23548;&#24341;&#34920;\&#20998;&#26512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4920;96\&#21476;&#36234;&#40857;&#23665;\&#21476;&#36234;&#36130;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1160;&#29289;&#22253;\&#20975;&#22320;\&#20975;&#22320;&#24635;9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调整分录-输入"/>
      <sheetName val="所得税"/>
      <sheetName val="新旧转换调整分录"/>
      <sheetName val="新准则资产负债表"/>
      <sheetName val="新准则利润表"/>
      <sheetName val="新准则TB"/>
      <sheetName val="新资产负债表"/>
      <sheetName val="新利润及利润分配表"/>
      <sheetName val="财务指标"/>
      <sheetName val="试算平衡表"/>
      <sheetName val="注释"/>
      <sheetName val="XBase"/>
      <sheetName val="分析分录"/>
      <sheetName val="前导表"/>
      <sheetName val="补充分录"/>
      <sheetName val="验证"/>
      <sheetName val="CF附注"/>
      <sheetName val="新现金流量表"/>
      <sheetName val="流量表新旧转换调整分录"/>
      <sheetName val="新准则现金流量表"/>
      <sheetName val="所有者权益变动表"/>
      <sheetName val="台帐资料"/>
      <sheetName val="Account"/>
      <sheetName val="newAccount"/>
      <sheetName val="cf"/>
      <sheetName val="资产负债表"/>
      <sheetName val="企业表一"/>
      <sheetName val="M-5C"/>
      <sheetName val="M-5A"/>
      <sheetName val="0001物产元通本部2007"/>
      <sheetName val="B"/>
      <sheetName val="삅ོ䚋栠"/>
      <sheetName val="삅ོ䚋栠Ѫ_x0000_ࡪ"/>
      <sheetName val="삅ོ䚋"/>
      <sheetName val="삅ོ䚋栠Ѫ_x0000_ࡪ㋨"/>
      <sheetName val="삅ོ"/>
      <sheetName val="삅ོ䚋栠Ѫ_x0000_ࡪ㋨ﯾ_xffff_ﱅ잃蔐緀"/>
      <sheetName val="삅ོ䚋栠Ѫ_x0000_ࡪ㋨ﯾ"/>
      <sheetName val="삅ོ䚋栠Ѫ_x0000_ࡪ㋨ﯾ_xffff_ﱅ"/>
      <sheetName val="科目余额表"/>
      <sheetName val="BALANCE SHEET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삅ོ䚋栠Ѫ_x005f_x0000_ࡪ㋨"/>
      <sheetName val="삅ོ䚋栠Ѫ_x005f_x0000_ࡪ㋨ﯾ_x005f_xffff_ﱅ"/>
      <sheetName val="삅ོ䚋栠Ѫ_x005f_x0000_ࡪ㋨ﯾ_x005f_xffff_ﱅ잃蔐緀"/>
      <sheetName val="引用区域"/>
      <sheetName val="삅ོ䚋栠Ѫ_x005f_x0000_ࡪ㋨ﯾ"/>
      <sheetName val="W"/>
      <sheetName val="06余额表"/>
      <sheetName val="收入和成本对应表"/>
      <sheetName val="明细"/>
      <sheetName val="机械设备步骤复核表"/>
      <sheetName val="4-6-5车辆"/>
      <sheetName val="4-6-6电子设备"/>
      <sheetName val="4-6-4机器设备"/>
      <sheetName val="삅ོ䚋栠Ѫ_x005f_x005f_x005f_x0000_ࡪ㋨"/>
      <sheetName val="삅ོ䚋栠Ѫ_x005f_x005f_x005f_x0000_ࡪ㋨ﯾ"/>
      <sheetName val="삅ོ䚋栠Ѫ_x005f_x005f_x005f_x0000_ࡪ㋨ﯾ_x005f_x005f_xff"/>
      <sheetName val="借款核实"/>
      <sheetName val="公用信息表"/>
      <sheetName val="삅ོ䚋栠Ѫ_x005f_x0000_ࡪ㋨ﯾ_x005f_xffff_ﱅ"/>
      <sheetName val="삅ོ䚋栠Ѫ_x005f_x0000_ࡪ㋨ﯾ_x005f_xffff_ﱅ잃蔐緀"/>
      <sheetName val="삅ོ䚋栠Ѫ_x005f_x005f_x005f_x0000_ࡪ㋨"/>
      <sheetName val="삅ོ䚋栠Ѫ_x005f_x005f_x005f_x0000_ࡪ㋨ﯾ"/>
      <sheetName val="삅ོ䚋栠Ѫ_x005f_x005f_x005f_x0000_ࡪ㋨ﯾ_x005f_x005f_xff"/>
      <sheetName val="삅ོ䚋栠Ѫ_x005f_x0000_ࡪ㋨ﯾ_x005f_xffff_ﱅ"/>
      <sheetName val="삅ོ䚋栠Ѫ_x005f_x0000_ࡪ㋨ﯾ_x005f_xffff_ﱅ잃蔐緀"/>
      <sheetName val="삅ོ䚋栠Ѫ_x005f_x005f_x005f_x0000_ࡪ㋨"/>
      <sheetName val="삅ོ䚋栠Ѫ_x005f_x005f_x005f_x0000_ࡪ㋨ﯾ"/>
      <sheetName val="삅ོ䚋栠Ѫ_x005f_x005f_x005f_x0000_ࡪ㋨ﯾ_x005f_x005f_xff"/>
      <sheetName val="삅ོ䚋栠Ѫ_x005f_x0000_ࡪ㋨ﯾ_x005f_xffff_ﱅ"/>
      <sheetName val="삅ོ䚋栠Ѫ_x005f_x0000_ࡪ㋨ﯾ_x005f_xffff_ﱅ잃蔐緀"/>
      <sheetName val="삅ོ䚋栠Ѫ_x005f_x005f_x005f_x0000_ࡪ㋨"/>
      <sheetName val="삅ོ䚋栠Ѫ_x005f_x005f_x005f_x0000_ࡪ㋨ﯾ"/>
      <sheetName val="삅ོ䚋栠Ѫ_x005f_x005f_x005f_x0000_ࡪ㋨ﯾ_x005f_x005f_xff"/>
      <sheetName val="삅ོ䚋栠Ѫ_x005f_x0000_ࡪ㋨ﯾ_x005f_xffff_ﱅ"/>
      <sheetName val="삅ོ䚋栠Ѫ_x005f_x0000_ࡪ㋨ﯾ_x005f_xffff_ﱅ잃蔐緀"/>
      <sheetName val="삅ོ䚋栠Ѫ_x005f_x005f_x005f_x0000_ࡪ㋨"/>
      <sheetName val="삅ོ䚋栠Ѫ_x005f_x005f_x005f_x0000_ࡪ㋨ﯾ"/>
      <sheetName val="삅ོ䚋栠Ѫ_x005f_x005f_x005f_x0000_ࡪ㋨ﯾ_x005f_x005f_xff"/>
      <sheetName val="삅ོ䚋栠Ѫ_x005f_x0000_ࡪ㋨ﯾ_x005f_xffff_ﱅ"/>
      <sheetName val="삅ོ䚋栠Ѫ_x005f_x0000_ࡪ㋨ﯾ_x005f_xffff_ﱅ잃蔐緀"/>
      <sheetName val="삅ོ䚋栠Ѫ_x005f_x005f_x005f_x0000_ࡪ㋨"/>
      <sheetName val="삅ོ䚋栠Ѫ_x005f_x005f_x005f_x0000_ࡪ㋨ﯾ"/>
      <sheetName val="삅ོ䚋栠Ѫ_x005f_x005f_x005f_x0000_ࡪ㋨ﯾ_x005f_x005f_xff"/>
      <sheetName val="삅ོ䚋栠Ѫ_x005f_x0000_ࡪ㋨ﯾ_x005f_xffff_ﱅ"/>
      <sheetName val="삅ོ䚋栠Ѫ_x005f_x0000_ࡪ㋨ﯾ_x005f_xffff_ﱅ잃蔐緀"/>
      <sheetName val="삅ོ䚋栠Ѫ_x005f_x005f_x005f_x0000_ࡪ㋨"/>
      <sheetName val="삅ོ䚋栠Ѫ_x005f_x005f_x005f_x0000_ࡪ㋨ﯾ"/>
      <sheetName val="삅ོ䚋栠Ѫ_x005f_x005f_x005f_x0000_ࡪ㋨ﯾ_x005f_x005f_x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调整分录-输入"/>
      <sheetName val="新旧转换调整分录"/>
      <sheetName val="新准则资产负债表"/>
      <sheetName val="新准则利润表"/>
      <sheetName val="新准则TB"/>
      <sheetName val="新资产负债表"/>
      <sheetName val="新利润及利润分配表"/>
      <sheetName val="财务指标"/>
      <sheetName val="试算平衡表"/>
      <sheetName val="注释"/>
      <sheetName val="XBase"/>
      <sheetName val="分析分录"/>
      <sheetName val="前导表"/>
      <sheetName val="补充分录"/>
      <sheetName val="验证"/>
      <sheetName val="CF附注"/>
      <sheetName val="新现金流量表"/>
      <sheetName val="流量表新旧转换调整分录"/>
      <sheetName val="新准则现金流量表"/>
      <sheetName val="所有者权益变动表"/>
      <sheetName val="所得税"/>
      <sheetName val="台帐资料"/>
      <sheetName val="Account"/>
      <sheetName val="newAccount"/>
      <sheetName val="cf"/>
      <sheetName val="Collateral"/>
      <sheetName val="Dispos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存货明细表"/>
      <sheetName val="计价测试参数表"/>
      <sheetName val="商铺"/>
      <sheetName val="市场法测算表-商铺"/>
      <sheetName val="试算平衡表"/>
      <sheetName val="XBase"/>
      <sheetName val="新准则TB"/>
      <sheetName val="A430"/>
      <sheetName val="ARP"/>
      <sheetName val="E1020"/>
      <sheetName val="企业表一"/>
      <sheetName val="M-5C"/>
      <sheetName val="M-5A"/>
      <sheetName val="XL4Poppy"/>
      <sheetName val="Sheet1"/>
      <sheetName val="Sheet2"/>
      <sheetName val="Sheet3"/>
      <sheetName val="客户基本概况表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Repayment Summary"/>
      <sheetName val="总分类账"/>
      <sheetName val="for disclosure"/>
      <sheetName val="核算项目余额表"/>
      <sheetName val="所得税凭证抽查"/>
      <sheetName val="审核2"/>
      <sheetName val="Sheet9"/>
      <sheetName val="#REF!"/>
      <sheetName val="FA Breakdown"/>
      <sheetName val="XREF"/>
      <sheetName val="other comments"/>
      <sheetName val="总部调整"/>
      <sheetName val="汇总抵消"/>
      <sheetName val="SI"/>
      <sheetName val="F1"/>
      <sheetName val="科目余额表"/>
      <sheetName val="账面外销"/>
      <sheetName val="MY"/>
      <sheetName val="05.7工资分析"/>
      <sheetName val="BDC Raw Data"/>
      <sheetName val="其他应收款－个人借款明细"/>
      <sheetName val="物资采购含税转出"/>
      <sheetName val="FA EB+YY"/>
      <sheetName val="Links"/>
      <sheetName val="Main"/>
      <sheetName val="提足折旧"/>
      <sheetName val="三家其他应付公司"/>
      <sheetName val="应付职工薪酬"/>
      <sheetName val="应收票据函证控制表"/>
      <sheetName val="表5_2_1固定资产—机器设备"/>
      <sheetName val="成本法-决算调整法"/>
      <sheetName val="4-6-1房屋建筑物"/>
      <sheetName val="价格指数"/>
      <sheetName val="固定资产明细"/>
      <sheetName val="FA明细"/>
      <sheetName val="总利润表"/>
      <sheetName val="记账凭证测试表—应收账款"/>
      <sheetName val="外销涤布"/>
      <sheetName val="科目名称表"/>
      <sheetName val="资产负债表"/>
      <sheetName val="GA"/>
      <sheetName val="AR"/>
      <sheetName val="销售"/>
      <sheetName val="Expense summary"/>
      <sheetName val="2008.10.27-31日实际出库明细"/>
      <sheetName val="Sales ADJ 2008.1-10"/>
      <sheetName val="参数"/>
      <sheetName val="UFPrn20090223104227"/>
      <sheetName val="未展开"/>
      <sheetName val="设备部房屋"/>
      <sheetName val="10色母料"/>
      <sheetName val="清单"/>
      <sheetName val="产成品计价3"/>
      <sheetName val="盘存还原"/>
      <sheetName val="外汇付款计划"/>
      <sheetName val="Third party"/>
      <sheetName val="Summary"/>
      <sheetName val="2002年关联方余额及交易"/>
      <sheetName val="应收款"/>
      <sheetName val="预付款"/>
      <sheetName val="56271-2"/>
      <sheetName val="summary "/>
      <sheetName val="基础信息"/>
      <sheetName val="5月"/>
      <sheetName val="6月"/>
      <sheetName val="清单12.31"/>
      <sheetName val="封面"/>
      <sheetName val="2012年长期挂账"/>
      <sheetName val="嘉诚珠宝"/>
      <sheetName val="货币资金审定表"/>
      <sheetName val="master"/>
      <sheetName val="CY sales report"/>
      <sheetName val="基本信息输入"/>
      <sheetName val="E100"/>
      <sheetName val="财务费用明细表"/>
      <sheetName val="长期待摊费用明细表"/>
      <sheetName val="控制清单"/>
      <sheetName val="O.所得税"/>
      <sheetName val="source"/>
      <sheetName val="G200"/>
      <sheetName val="Consol BS"/>
      <sheetName val="HO &amp; Aust BS"/>
      <sheetName val="K100"/>
      <sheetName val="K140"/>
      <sheetName val="廠商編號"/>
      <sheetName val="银行借款询证"/>
      <sheetName val="2008"/>
      <sheetName val="填表人、评估人员（引用表）"/>
      <sheetName val="收入"/>
      <sheetName val="说明"/>
      <sheetName val="余额表"/>
      <sheetName val="TB表"/>
      <sheetName val="收入查证表"/>
      <sheetName val="选择报表"/>
      <sheetName val="SHIP"/>
      <sheetName val="Vendor Data"/>
      <sheetName val="关联交易-存款"/>
      <sheetName val="Control"/>
      <sheetName val="F130&quot;"/>
      <sheetName val="完"/>
      <sheetName val="W"/>
      <sheetName val="审计调整"/>
      <sheetName val="DTCT"/>
      <sheetName val="广告费测试表"/>
      <sheetName val="eqpmad2"/>
      <sheetName val="POWER ASSUMPTIONS"/>
      <sheetName val="房屋及建筑物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_x0000__x0000__x0000__x0000__x0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生产成本账"/>
      <sheetName val="序时帐"/>
      <sheetName val="期后回款"/>
      <sheetName val="索引"/>
      <sheetName val="其他货币资金.dbf"/>
      <sheetName val="银行存款.dbf"/>
      <sheetName val="标实对比表"/>
      <sheetName val="表头信息"/>
      <sheetName val="负债完成横向"/>
      <sheetName val="资产完成横向"/>
      <sheetName val="_x005f_x0000__x005f_x0000__x005"/>
      <sheetName val="附表10"/>
      <sheetName val="银行存款明细表"/>
      <sheetName val="其他业务利润明细表"/>
      <sheetName val="投资收益明细表"/>
      <sheetName val="未交税金明细表"/>
      <sheetName val="数字视频并帐"/>
      <sheetName val="Part_Datum"/>
      <sheetName val="应付账款明细表"/>
      <sheetName val="Pre-operating Exp"/>
      <sheetName val="Miscellaneous Exp."/>
      <sheetName val="Rental 2002"/>
      <sheetName val="Rental 2001"/>
      <sheetName val="35.1租赁明细"/>
      <sheetName val="11"/>
      <sheetName val="固定资产(原表)"/>
      <sheetName val="Namelist"/>
      <sheetName val="坏账准备_其他应收款Dy"/>
      <sheetName val="坏账准备_预付账款Dy"/>
      <sheetName val="机器设备计算表"/>
      <sheetName val="Sheet1 (11)"/>
      <sheetName val="科目表"/>
      <sheetName val="ITEM"/>
      <sheetName val="调整分录"/>
      <sheetName val="待摊费用明细表"/>
      <sheetName val="长期借款明细表1"/>
      <sheetName val="营业收入审定表"/>
      <sheetName val="标本-资产"/>
      <sheetName val="营业费用Dy"/>
      <sheetName val="主营业务收入Dy"/>
      <sheetName val="实收资本Dy"/>
      <sheetName val="资本公积Dy"/>
      <sheetName val="帐务资料"/>
      <sheetName val="应付职工薪酬Dy"/>
      <sheetName val="短期借款Dy"/>
      <sheetName val="应付账款Dy"/>
      <sheetName val="应付票据Dy"/>
      <sheetName val="其他应付款Dy"/>
      <sheetName val="应交税费Dy"/>
      <sheetName val="预收款项Dy"/>
      <sheetName val="1_巴西保罗公司"/>
      <sheetName val="工资"/>
      <sheetName val="管理费用Dy"/>
      <sheetName val="其他货币资金Dy"/>
      <sheetName val="数量金额总账"/>
      <sheetName val="dxnsjtempsheet"/>
      <sheetName val="2010.02"/>
      <sheetName val="存货整体结构12月"/>
      <sheetName val="存货整体结构7月"/>
      <sheetName val="权益变动"/>
      <sheetName val="KKKKKKKK"/>
      <sheetName val="405-10-2"/>
      <sheetName val="130-5-1（不打印)"/>
      <sheetName val="130-7（不打印）"/>
      <sheetName val="405-10-1"/>
      <sheetName val="Collateral"/>
      <sheetName val="Disposition"/>
      <sheetName val="Consol"/>
      <sheetName val="Sch.1"/>
      <sheetName val="yb"/>
      <sheetName val="冲压领料"/>
      <sheetName val="细节测试审计抽样"/>
      <sheetName val="存货汇总表"/>
      <sheetName val="模块明细"/>
      <sheetName val="银行存款核对表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Tickmarks"/>
      <sheetName val="Sales branch breakdown"/>
      <sheetName val="基本信息"/>
      <sheetName val="函证汇总表"/>
      <sheetName val="应缴增值税测算明细表（按月）"/>
      <sheetName val="Open"/>
      <sheetName val="应付帐款明细表1-12月"/>
      <sheetName val="存货程序表"/>
      <sheetName val="Validation source"/>
      <sheetName val="余良卿9月"/>
      <sheetName val="科目余额表正式"/>
      <sheetName val="56330-账面 (2)"/>
      <sheetName val="Sale summary"/>
      <sheetName val="资产负债表(本部原报)"/>
      <sheetName val="PIT"/>
      <sheetName val="Lead"/>
      <sheetName val="erp测算"/>
      <sheetName val="会计科目"/>
      <sheetName val="PER SALES ORG"/>
      <sheetName val="盈余公积 （合并)"/>
      <sheetName val="合"/>
      <sheetName val="审定BS"/>
      <sheetName val="审定IN"/>
      <sheetName val="其他科目"/>
      <sheetName val="原材料（系统）"/>
      <sheetName val="2007年其他应收款明细表 (2)"/>
      <sheetName val="利息分配检查表"/>
      <sheetName val="明细表"/>
      <sheetName val="原报调整分录"/>
      <sheetName val="审计调整分录"/>
      <sheetName val="dm"/>
      <sheetName val="资产负债表调整过程表"/>
      <sheetName val="利润调整过程表"/>
      <sheetName val="loan database"/>
      <sheetName val="内部购进明细表"/>
      <sheetName val="管理费用程序表"/>
      <sheetName val="南通对尚玛可销售开票汇总表"/>
      <sheetName val="抽查表"/>
      <sheetName val="入库截止测试-原材料"/>
      <sheetName val="固定资产2001年折旧"/>
      <sheetName val="贴现2003"/>
      <sheetName val="贴现2002"/>
      <sheetName val="贴现(总表)"/>
      <sheetName val="表外项目-银行承兑汇票"/>
      <sheetName val="贷款清单2002"/>
      <sheetName val="贷款清单2003"/>
      <sheetName val="A3"/>
      <sheetName val="S "/>
      <sheetName val="利润表"/>
      <sheetName val="analyse"/>
      <sheetName val="12201001"/>
      <sheetName val="应收票据(关联方)"/>
      <sheetName val="已审CF"/>
      <sheetName val="审前BS"/>
      <sheetName val="审定BS报出"/>
      <sheetName val="TB IN"/>
      <sheetName val="审定IN报出"/>
      <sheetName val="审前IN"/>
      <sheetName val="查证1"/>
      <sheetName val="应收明细账"/>
      <sheetName val="其他应付单位往来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长期借款程序表"/>
      <sheetName val="OR Breakdown"/>
      <sheetName val="HPGR LAB sw"/>
      <sheetName val="预付账款汇总表"/>
      <sheetName val="113301"/>
      <sheetName val="资产负债表及损益表"/>
      <sheetName val="重要内部交易"/>
      <sheetName val="基础数据"/>
      <sheetName val="原材料-纸张帐"/>
      <sheetName val="3331"/>
      <sheetName val="3334"/>
      <sheetName val="3388"/>
      <sheetName val="3389"/>
      <sheetName val="4213"/>
      <sheetName val="5357"/>
      <sheetName val="8066"/>
      <sheetName val="其他应付单位"/>
      <sheetName val="UFPrn20070127142303"/>
      <sheetName val="05_7工资分析"/>
      <sheetName val="Sens"/>
      <sheetName val="母公司附注"/>
      <sheetName val="FA movement"/>
      <sheetName val="現金"/>
      <sheetName val="填表说明"/>
      <sheetName val="液氮"/>
      <sheetName val="成品入库05"/>
      <sheetName val="工作表目录"/>
      <sheetName val="_x0000__x0000__x0000__x0000__x0000__x0000__x0000__x0000_"/>
      <sheetName val="_x005f_x0000__x005f_x0000__x005f_x0000__x005f_x0000__x0"/>
      <sheetName val="以前年度损益调整"/>
      <sheetName val="Detail Loan Move. &amp; Listing"/>
      <sheetName val="1-炬日市场法-住宅2 "/>
      <sheetName val="TBF"/>
      <sheetName val="_x005f_x005f_x005f_x0000__x005f_x005f_x005f_x0000__x005"/>
      <sheetName val="_x0000__x0000__x0000__x0000__x0000__x0000__x0000__x0000_"/>
      <sheetName val="_x005f_x0000__x005f_x0000__x005f_x0000__x005f_x0000__x0"/>
      <sheetName val="_x005f_x005f_x005f_x0000__x005f_x005f_x005f_x0000__x005"/>
      <sheetName val="_x0000__x0000__x0000__x0000__x0000__x0000__x0000__x0000_"/>
      <sheetName val="_x005f_x0000__x005f_x0000__x005f_x0000__x005f_x0000__x0"/>
      <sheetName val="_x005f_x005f_x005f_x0000__x005f_x005f_x005f_x0000__x005"/>
      <sheetName val="_x0000__x0000__x0000__x0000__x0000__x0000__x0000__x0000_"/>
      <sheetName val="_x005f_x0000__x005f_x0000__x005f_x0000__x005f_x0000__x0"/>
      <sheetName val="_x005f_x005f_x005f_x0000__x005f_x005f_x005f_x0000__x005"/>
      <sheetName val="_x0000__x0000__x0000__x0000__x0000__x0000__x0000__x0000_"/>
      <sheetName val="_x005f_x0000__x005f_x0000__x005f_x0000__x005f_x0000__x0"/>
      <sheetName val="_x005f_x005f_x005f_x0000__x005f_x005f_x005f_x0000__x005"/>
      <sheetName val="_x0000__x0000__x0000__x0000__x0000__x0000__x0000__x0000_"/>
      <sheetName val="_x005f_x0000__x005f_x0000__x005f_x0000__x005f_x0000__x0"/>
      <sheetName val="_x005f_x005f_x005f_x0000__x005f_x005f_x005f_x0000__x005"/>
      <sheetName val="_x0000__x0000__x0000__x0000__x0000__x0000__x0000__x0000_"/>
      <sheetName val="_x005f_x0000__x005f_x0000__x005f_x0000__x005f_x0000__x0"/>
      <sheetName val="_x005f_x005f_x005f_x0000__x005f_x005f_x005f_x0000_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调整分录-输入"/>
      <sheetName val="坏账计提表"/>
      <sheetName val="新资产负债表"/>
      <sheetName val="新利润及利润分配表"/>
      <sheetName val="试算平衡表"/>
      <sheetName val="所得税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B"/>
      <sheetName val="新准则TB"/>
      <sheetName val="公用信息"/>
      <sheetName val="企业表一"/>
      <sheetName val="M-5C"/>
      <sheetName val="M-5A"/>
      <sheetName val="价格指数"/>
      <sheetName val="4-6-5车辆"/>
      <sheetName val="4-6-4机器设备"/>
      <sheetName val="记账凭证测试表—应收账款"/>
      <sheetName val="基础信息"/>
      <sheetName val="171-2-1固定资产审定表2014"/>
      <sheetName val="市场法-计算表"/>
      <sheetName val="Collateral"/>
      <sheetName val="Disposition"/>
      <sheetName val="其他货币资金.dbf"/>
      <sheetName val="银行存款.dbf"/>
      <sheetName val="W"/>
      <sheetName val="ZQ建筑物类固定资产"/>
      <sheetName val="ZP-1-1投资性房地产-房屋程序表"/>
      <sheetName val="存货"/>
      <sheetName val="现金"/>
      <sheetName val="工程物资"/>
      <sheetName val="ZI-5-1库存商品底稿"/>
      <sheetName val="ZH-2其他应收款底稿"/>
      <sheetName val="封面"/>
      <sheetName val="Sheet5"/>
      <sheetName val="Cost Walk"/>
      <sheetName val="索引表"/>
      <sheetName val="1-炬日市场法-住宅2 "/>
      <sheetName val="BALANCE SHEET"/>
      <sheetName val="E1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Sheet1"/>
      <sheetName val="Sheet2"/>
      <sheetName val="Sheet3"/>
      <sheetName val="客户基本概况表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总部调整"/>
      <sheetName val="汇总抵消"/>
      <sheetName val="SI"/>
      <sheetName val="Repayment Summary"/>
      <sheetName val="总分类账"/>
      <sheetName val="for disclosure"/>
      <sheetName val="核算项目余额表"/>
      <sheetName val="所得税凭证抽查"/>
      <sheetName val="审核2"/>
      <sheetName val="Sheet9"/>
      <sheetName val="#REF!"/>
      <sheetName val="企业表一"/>
      <sheetName val="FA Breakdown"/>
      <sheetName val="XREF"/>
      <sheetName val="other comments"/>
      <sheetName val="新准则TB"/>
      <sheetName val="M-5C"/>
      <sheetName val="M-5A"/>
      <sheetName val="E1020"/>
      <sheetName val="账面外销"/>
      <sheetName val="MY"/>
      <sheetName val="05.7工资分析"/>
      <sheetName val="F1"/>
      <sheetName val="科目余额表"/>
      <sheetName val="BDC Raw Data"/>
      <sheetName val="试算平衡表"/>
      <sheetName val="XBase"/>
      <sheetName val="其他应收款－个人借款明细"/>
      <sheetName val="物资采购含税转出"/>
      <sheetName val="FA EB+YY"/>
      <sheetName val="Links"/>
      <sheetName val="Main"/>
      <sheetName val="提足折旧"/>
      <sheetName val="三家其他应付公司"/>
      <sheetName val="应付职工薪酬"/>
      <sheetName val="应收票据函证控制表"/>
      <sheetName val="表5_2_1固定资产—机器设备"/>
      <sheetName val="成本法-决算调整法"/>
      <sheetName val="4-6-1房屋建筑物"/>
      <sheetName val="外销涤布"/>
      <sheetName val="基础信息"/>
      <sheetName val="5月"/>
      <sheetName val="6月"/>
      <sheetName val="XL4Poppy"/>
      <sheetName val="固定资产明细"/>
      <sheetName val="FA明细"/>
      <sheetName val="总利润表"/>
      <sheetName val="记账凭证测试表—应收账款"/>
      <sheetName val="TB表"/>
      <sheetName val="选择报表"/>
      <sheetName val="价格指数"/>
      <sheetName val="科目名称表"/>
      <sheetName val="审计调整"/>
      <sheetName val="_x0000__x0000__x0000__x0000__x0000__x0000__x0000__x0000_"/>
      <sheetName val="资产负债表"/>
      <sheetName val="GA"/>
      <sheetName val="AR"/>
      <sheetName val="销售"/>
      <sheetName val="Expense summary"/>
      <sheetName val="2008.10.27-31日实际出库明细"/>
      <sheetName val="Sales ADJ 2008.1-10"/>
      <sheetName val="参数"/>
      <sheetName val="UFPrn20090223104227"/>
      <sheetName val="未展开"/>
      <sheetName val="设备部房屋"/>
      <sheetName val="10色母料"/>
      <sheetName val="清单"/>
      <sheetName val="产成品计价3"/>
      <sheetName val="盘存还原"/>
      <sheetName val="外汇付款计划"/>
      <sheetName val="Third party"/>
      <sheetName val="Summary"/>
      <sheetName val="2002年关联方余额及交易"/>
      <sheetName val="应收款"/>
      <sheetName val="预付款"/>
      <sheetName val="56271-2"/>
      <sheetName val="summary "/>
      <sheetName val="CY sales report"/>
      <sheetName val="E100"/>
      <sheetName val="控制清单"/>
      <sheetName val="O.所得税"/>
      <sheetName val="财务费用明细表"/>
      <sheetName val="长期待摊费用明细表"/>
      <sheetName val="清单12.31"/>
      <sheetName val="封面"/>
      <sheetName val="2012年长期挂账"/>
      <sheetName val="嘉诚珠宝"/>
      <sheetName val="货币资金审定表"/>
      <sheetName val="master"/>
      <sheetName val="基本信息输入"/>
      <sheetName val="source"/>
      <sheetName val="G200"/>
      <sheetName val="Consol BS"/>
      <sheetName val="HO &amp; Aust BS"/>
      <sheetName val="K100"/>
      <sheetName val="K140"/>
      <sheetName val="廠商編號"/>
      <sheetName val="银行借款询证"/>
      <sheetName val="2008"/>
      <sheetName val="填表人、评估人员（引用表）"/>
      <sheetName val="收入"/>
      <sheetName val="说明"/>
      <sheetName val="余额表"/>
      <sheetName val="收入查证表"/>
      <sheetName val="DTCT"/>
      <sheetName val="广告费测试表"/>
      <sheetName val="eqpmad2"/>
      <sheetName val="POWER ASSUMPTIONS"/>
      <sheetName val="房屋及建筑物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SHIP"/>
      <sheetName val="Vendor Data"/>
      <sheetName val="关联交易-存款"/>
      <sheetName val="Control"/>
      <sheetName val="F130&quot;"/>
      <sheetName val="完"/>
      <sheetName val="W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生产成本账"/>
      <sheetName val="序时帐"/>
      <sheetName val="期后回款"/>
      <sheetName val="索引"/>
      <sheetName val="其他货币资金.dbf"/>
      <sheetName val="银行存款.dbf"/>
      <sheetName val="标实对比表"/>
      <sheetName val="表头信息"/>
      <sheetName val="负债完成横向"/>
      <sheetName val="资产完成横向"/>
      <sheetName val="_x005f_x0000__x005f_x0000__x005f_x0000__x005f_x0000__x0"/>
      <sheetName val="附表10"/>
      <sheetName val="银行存款明细表"/>
      <sheetName val="其他业务利润明细表"/>
      <sheetName val="投资收益明细表"/>
      <sheetName val="未交税金明细表"/>
      <sheetName val="数字视频并帐"/>
      <sheetName val="Part_Datum"/>
      <sheetName val="应付账款明细表"/>
      <sheetName val="Pre-operating Exp"/>
      <sheetName val="Miscellaneous Exp."/>
      <sheetName val="Rental 2002"/>
      <sheetName val="Rental 2001"/>
      <sheetName val="35.1租赁明细"/>
      <sheetName val="11"/>
      <sheetName val="固定资产(原表)"/>
      <sheetName val="Namelist"/>
      <sheetName val="坏账准备_其他应收款Dy"/>
      <sheetName val="坏账准备_预付账款Dy"/>
      <sheetName val="机器设备计算表"/>
      <sheetName val="Sheet1 (11)"/>
      <sheetName val="科目表"/>
      <sheetName val="ITEM"/>
      <sheetName val="调整分录"/>
      <sheetName val="待摊费用明细表"/>
      <sheetName val="长期借款明细表1"/>
      <sheetName val="营业收入审定表"/>
      <sheetName val="标本-资产"/>
      <sheetName val="营业费用Dy"/>
      <sheetName val="主营业务收入Dy"/>
      <sheetName val="实收资本Dy"/>
      <sheetName val="资本公积Dy"/>
      <sheetName val="帐务资料"/>
      <sheetName val="应付职工薪酬Dy"/>
      <sheetName val="短期借款Dy"/>
      <sheetName val="应付账款Dy"/>
      <sheetName val="应付票据Dy"/>
      <sheetName val="其他应付款Dy"/>
      <sheetName val="应交税费Dy"/>
      <sheetName val="预收款项Dy"/>
      <sheetName val="1_巴西保罗公司"/>
      <sheetName val="工资"/>
      <sheetName val="管理费用Dy"/>
      <sheetName val="其他货币资金Dy"/>
      <sheetName val="数量金额总账"/>
      <sheetName val="dxnsjtempsheet"/>
      <sheetName val="2010.02"/>
      <sheetName val="存货整体结构12月"/>
      <sheetName val="存货整体结构7月"/>
      <sheetName val="权益变动"/>
      <sheetName val="KKKKKKKK"/>
      <sheetName val="405-10-2"/>
      <sheetName val="130-5-1（不打印)"/>
      <sheetName val="130-7（不打印）"/>
      <sheetName val="405-10-1"/>
      <sheetName val="A430"/>
      <sheetName val="Collateral"/>
      <sheetName val="Disposition"/>
      <sheetName val="Consol"/>
      <sheetName val="Sch.1"/>
      <sheetName val="yb"/>
      <sheetName val="冲压领料"/>
      <sheetName val="细节测试审计抽样"/>
      <sheetName val="存货汇总表"/>
      <sheetName val="模块明细"/>
      <sheetName val="银行存款核对表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Tickmarks"/>
      <sheetName val="Sales branch breakdown"/>
      <sheetName val="基本信息"/>
      <sheetName val="函证汇总表"/>
      <sheetName val="应缴增值税测算明细表（按月）"/>
      <sheetName val="Open"/>
      <sheetName val="应付帐款明细表1-12月"/>
      <sheetName val="存货程序表"/>
      <sheetName val="Validation source"/>
      <sheetName val="余良卿9月"/>
      <sheetName val="科目余额表正式"/>
      <sheetName val="56330-账面 (2)"/>
      <sheetName val="Sale summary"/>
      <sheetName val="资产负债表(本部原报)"/>
      <sheetName val="PIT"/>
      <sheetName val="Lead"/>
      <sheetName val="erp测算"/>
      <sheetName val="会计科目"/>
      <sheetName val="PER SALES ORG"/>
      <sheetName val="盈余公积 （合并)"/>
      <sheetName val="合"/>
      <sheetName val="审定BS"/>
      <sheetName val="审定IN"/>
      <sheetName val="其他科目"/>
      <sheetName val="原材料（系统）"/>
      <sheetName val="2007年其他应收款明细表 (2)"/>
      <sheetName val="利息分配检查表"/>
      <sheetName val="明细表"/>
      <sheetName val="原报调整分录"/>
      <sheetName val="审计调整分录"/>
      <sheetName val="dm"/>
      <sheetName val="资产负债表调整过程表"/>
      <sheetName val="利润调整过程表"/>
      <sheetName val="loan database"/>
      <sheetName val="内部购进明细表"/>
      <sheetName val="管理费用程序表"/>
      <sheetName val="南通对尚玛可销售开票汇总表"/>
      <sheetName val="抽查表"/>
      <sheetName val="入库截止测试-原材料"/>
      <sheetName val="固定资产2001年折旧"/>
      <sheetName val="_x005f_x0000__x005f_x0000__x005"/>
      <sheetName val="A3"/>
      <sheetName val="S "/>
      <sheetName val="利润表"/>
      <sheetName val="analyse"/>
      <sheetName val="12201001"/>
      <sheetName val="应收票据(关联方)"/>
      <sheetName val="已审CF"/>
      <sheetName val="工作表目录"/>
      <sheetName val="附注汇总"/>
      <sheetName val="Breakdown"/>
      <sheetName val="表头"/>
      <sheetName val="上期报表"/>
      <sheetName val="05_7工资分析"/>
      <sheetName val="Sens"/>
      <sheetName val="母公司附注"/>
      <sheetName val="FA movement"/>
      <sheetName val="現金"/>
      <sheetName val="填表说明"/>
      <sheetName val="液氮"/>
      <sheetName val="成品入库05"/>
      <sheetName val="审前BS"/>
      <sheetName val="审定BS报出"/>
      <sheetName val="TB IN"/>
      <sheetName val="审定IN报出"/>
      <sheetName val="审前IN"/>
      <sheetName val="查证1"/>
      <sheetName val="应收明细账"/>
      <sheetName val="其他应付单位往来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长期借款程序表"/>
      <sheetName val="OR Breakdown"/>
      <sheetName val="HPGR LAB sw"/>
      <sheetName val="预付账款汇总表"/>
      <sheetName val="113301"/>
      <sheetName val="资产负债表及损益表"/>
      <sheetName val="重要内部交易"/>
      <sheetName val="基础数据"/>
      <sheetName val="原材料-纸张帐"/>
      <sheetName val="3331"/>
      <sheetName val="3334"/>
      <sheetName val="3388"/>
      <sheetName val="3389"/>
      <sheetName val="4213"/>
      <sheetName val="5357"/>
      <sheetName val="8066"/>
      <sheetName val="其他应付单位"/>
      <sheetName val="UFPrn20070127142303"/>
      <sheetName val="_x005f_x005f_x005f_x0000__x005f"/>
      <sheetName val="存货差异分析表"/>
      <sheetName val="销项税"/>
      <sheetName val="现金导引表"/>
      <sheetName val="索赔（按车型）A4"/>
      <sheetName val="制造成本预算表A3"/>
      <sheetName val="销售收入A4"/>
      <sheetName val="销售费用预算表(A4)"/>
      <sheetName val="质量月报表"/>
      <sheetName val="基础信息表"/>
      <sheetName val="客户编码"/>
      <sheetName val="2006"/>
      <sheetName val="折旧测试2007"/>
      <sheetName val="2000年信托利润表汇总"/>
      <sheetName val="收入成本明细表"/>
      <sheetName val="工程施工与结算"/>
      <sheetName val="现金账6月-1"/>
      <sheetName val="收入、成本、收款"/>
      <sheetName val="审计程序"/>
      <sheetName val="TIS"/>
      <sheetName val="银行存、借款及票据函证统计表"/>
      <sheetName val="审定表G3-1"/>
      <sheetName val="VW 358 &amp; Gleichteile"/>
      <sheetName val="封面 Cover"/>
      <sheetName val="G1-1营业收入审定表"/>
      <sheetName val="表10"/>
      <sheetName val="目录 Index"/>
      <sheetName val="detail"/>
      <sheetName val="营业费用截止"/>
      <sheetName val="TB--附注"/>
      <sheetName val="储藏室"/>
      <sheetName val="科目余额表-总部及380"/>
      <sheetName val="Profile"/>
      <sheetName val="PRC"/>
      <sheetName val="INVDAYS"/>
      <sheetName val="list"/>
      <sheetName val="净值"/>
      <sheetName val="产品销售收入与成本明细表"/>
      <sheetName val="accode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分类"/>
      <sheetName val="本部固定明细"/>
      <sheetName val="预付账款明细表"/>
      <sheetName val="递延所得税资产Dy"/>
      <sheetName val="营业税金及附加Dy"/>
      <sheetName val="000065"/>
      <sheetName val="产成品盘点表"/>
      <sheetName val="销售费用程序表"/>
      <sheetName val="53130"/>
      <sheetName val="披露表(上市)"/>
      <sheetName val="利润重分类分录"/>
      <sheetName val="13应付账款明细表"/>
      <sheetName val="暂估分供应商汇总"/>
      <sheetName val="程序表"/>
      <sheetName val="程序表2"/>
      <sheetName val="权益法审定表"/>
      <sheetName val="审定表"/>
      <sheetName val="入库分类"/>
      <sheetName val="8-4函证结果汇总表"/>
      <sheetName val="期初调整"/>
      <sheetName val="本期调整"/>
      <sheetName val="基础表"/>
      <sheetName val="审定现金"/>
      <sheetName val="newcost"/>
      <sheetName val="Sch PR-2"/>
      <sheetName val="Sch PR-3"/>
      <sheetName val="TB 1999-2000"/>
      <sheetName val="CoList"/>
      <sheetName val="E1"/>
      <sheetName val="P1"/>
      <sheetName val="L4"/>
      <sheetName val="L2"/>
      <sheetName val="Period"/>
      <sheetName val="BUD"/>
      <sheetName val="代码表"/>
      <sheetName val="信息"/>
      <sheetName val="for disc"/>
      <sheetName val="Confirmation Control"/>
      <sheetName val="參數"/>
      <sheetName val="汇总抵消 "/>
      <sheetName val="离石试算"/>
      <sheetName val="客户余额表"/>
      <sheetName val="明细表E6-2"/>
      <sheetName val="产销存"/>
      <sheetName val="1-6累计销售"/>
      <sheetName val="收入个月"/>
      <sheetName val="Sheet2 (3)"/>
      <sheetName val="for_disclosure"/>
      <sheetName val="FA_Breakdown"/>
      <sheetName val="other_comments"/>
      <sheetName val="summary_"/>
      <sheetName val="Third_party"/>
      <sheetName val="POWER_ASSUMPTIONS"/>
      <sheetName val="清单12_31"/>
      <sheetName val="利润表项目"/>
      <sheetName val="_x0000__x0000__x0000__x0000__x0"/>
      <sheetName val="_x005f_x005f_x005f_x0000__x005f_x005f_x005f_x0000__x005"/>
      <sheetName val="索引表"/>
      <sheetName val="22未审 利润表及利润分配表"/>
      <sheetName val="无形资产使用寿命分析表"/>
      <sheetName val="无形资产累计摊销计算表"/>
      <sheetName val="E15"/>
      <sheetName val="Rules"/>
      <sheetName val="D5"/>
      <sheetName val="Equip.-FTY"/>
      <sheetName val="产品销售明细表"/>
      <sheetName val="GP Ratio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PTC"/>
      <sheetName val="H053"/>
      <sheetName val="上月累计"/>
      <sheetName val="损益同期"/>
      <sheetName val="年初数"/>
      <sheetName val="inputs"/>
      <sheetName val="存货赌价准备"/>
      <sheetName val="其乖帔乘款"/>
      <sheetName val="頄謡负债"/>
      <sheetName val="预算科目"/>
      <sheetName val="制费-分月"/>
      <sheetName val="成都费用（未分部门）"/>
      <sheetName val="利息7月-8月"/>
      <sheetName val="A1-A3"/>
      <sheetName val="A1_人员计划2009"/>
      <sheetName val="销量"/>
      <sheetName val="CHART_E"/>
      <sheetName val="Yr_1997"/>
      <sheetName val="4-货币资金-现金"/>
      <sheetName val="数据定义2"/>
      <sheetName val="Drop Down"/>
      <sheetName val="评估假设"/>
      <sheetName val="审核2.XLS"/>
      <sheetName val="TOTAL"/>
      <sheetName val="Data"/>
      <sheetName val="Statistics {pbe}"/>
      <sheetName val="Allow {pbe}"/>
      <sheetName val="2012年营业收入审定表"/>
      <sheetName val="2012年主营业务收入毛利分析"/>
      <sheetName val="2011年主营业务收入毛利分析"/>
      <sheetName val="营业外"/>
      <sheetName val="综合成本分析01.01-0205"/>
      <sheetName val="FY02"/>
      <sheetName val="BPR"/>
      <sheetName val="报表项目列表"/>
      <sheetName val="资合并"/>
      <sheetName val="敏感"/>
      <sheetName val="Profit and Loss"/>
      <sheetName val="审计说明"/>
      <sheetName val="合并抵销"/>
      <sheetName val="存货整体结构11月 "/>
      <sheetName val="基本情况表"/>
      <sheetName val="2010年试算平衡表"/>
      <sheetName val="本年试算平衡表"/>
      <sheetName val="其他科目_x0000__x0000__x000d_[分析表.XLS]G9-1_x0000__x0000__x000d_[分"/>
      <sheetName val="計算書（加）"/>
      <sheetName val="投資(加）"/>
      <sheetName val="294B b4 THAI SALE"/>
      <sheetName val="ALCUST"/>
      <sheetName val="跨期运保费抽查"/>
      <sheetName val="分产品销售收入、成本分析表"/>
      <sheetName val="Validation"/>
      <sheetName val="xj"/>
      <sheetName val="EXP"/>
      <sheetName val="Listen"/>
      <sheetName val="Start"/>
      <sheetName val="Bilanz Aktiva"/>
      <sheetName val="Bil.Zu-Abgang"/>
      <sheetName val="Cash Flow"/>
      <sheetName val="GuV"/>
      <sheetName val="Bilanz Passiva"/>
      <sheetName val="Ã«ÀûÂÊ·ÖÎö±í"/>
      <sheetName val="Bilanz"/>
      <sheetName val="Personal"/>
      <sheetName val="commentary"/>
      <sheetName val="Cash of Company"/>
      <sheetName val="New investment"/>
      <sheetName val="Stamp duty code"/>
      <sheetName val=" 弃"/>
      <sheetName val="name"/>
      <sheetName val="ZI2存货"/>
      <sheetName val="现金流量表"/>
      <sheetName val="科目库"/>
      <sheetName val="Liste"/>
      <sheetName val="102501 CFMA "/>
      <sheetName val="Stammdaten"/>
      <sheetName val="Interne Ergebnisrechnung (UKV)"/>
      <sheetName val="Kennzahlen"/>
      <sheetName val="Account"/>
      <sheetName val="Sales"/>
      <sheetName val="UFPrn20021113090847"/>
      <sheetName val="receivable"/>
      <sheetName val="_x0000__x0000__x005"/>
      <sheetName val="2002.1-6管理费用"/>
      <sheetName val="数据字典"/>
      <sheetName val="基本参数"/>
      <sheetName val="存货明细表"/>
      <sheetName val="计价测试参数表"/>
      <sheetName val="商铺"/>
      <sheetName val="市场法测算表-商铺"/>
      <sheetName val="ARP"/>
      <sheetName val="_x005f_x005f_x005f_x005f_x005f_x005f_x005f_x0000__x005f"/>
      <sheetName val="inf"/>
      <sheetName val="库存商品余额表.dbf"/>
      <sheetName val="披露表(国资)"/>
      <sheetName val="资产负债表原报 (2)"/>
      <sheetName val="会计科目表"/>
      <sheetName val="引用数据"/>
      <sheetName val="数外余额"/>
      <sheetName val="账上导出数（包括暂估）"/>
      <sheetName val="科目名称"/>
      <sheetName val="资产表"/>
      <sheetName val="负债表"/>
      <sheetName val="BALANCE SHEET"/>
      <sheetName val="Basic_Data"/>
      <sheetName val="内部购入存货明细表"/>
      <sheetName val="销售分客户 "/>
      <sheetName val="物资公司"/>
      <sheetName val="2004"/>
      <sheetName val="炼钢"/>
      <sheetName val="表头（请先填写）"/>
      <sheetName val="邯矿"/>
      <sheetName val="合并表"/>
      <sheetName val="金化"/>
      <sheetName val="通达"/>
      <sheetName val="银行未达账项明细表"/>
      <sheetName val="银行存款"/>
      <sheetName val="5"/>
      <sheetName val="4"/>
      <sheetName val="3"/>
      <sheetName val="资产减值准备 "/>
      <sheetName val="Parameters"/>
      <sheetName val="总目录"/>
      <sheetName val="科目余额表-最终"/>
      <sheetName val="产销量值.1"/>
      <sheetName val="收入成本表"/>
      <sheetName val="Excess Calc"/>
      <sheetName val="Breakdown-Intrim"/>
      <sheetName val="#REF"/>
      <sheetName val="124301 查询"/>
      <sheetName val="经贸库存商品"/>
      <sheetName val="公司管理费用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数据索引"/>
      <sheetName val="材料消耗"/>
      <sheetName val="其他液氨采购"/>
      <sheetName val="10月佳通债务转移分析"/>
      <sheetName val="应付账款审定表（2）"/>
      <sheetName val="利过本部Y"/>
      <sheetName val="整车盘点表"/>
      <sheetName val="成本"/>
      <sheetName val="应收账款明细表"/>
      <sheetName val="户名"/>
      <sheetName val="B厂"/>
      <sheetName val="恒昌铜炼"/>
      <sheetName val="内销硫酸期初"/>
      <sheetName val="OR Aging summary"/>
      <sheetName val="合成単価作成・-BLDG"/>
      <sheetName val="2.25"/>
      <sheetName val="09年1-7月销售发票"/>
      <sheetName val="1月"/>
      <sheetName val="3月"/>
      <sheetName val="9号库账务调整"/>
      <sheetName val="外库历年总费用及库存量"/>
      <sheetName val="岗位工资"/>
      <sheetName val="应交税费程序表"/>
      <sheetName val="zb"/>
      <sheetName val="Invoice"/>
      <sheetName val="Customize Your Invoice"/>
      <sheetName val="Historic BS"/>
      <sheetName val="工程物资Dy"/>
      <sheetName val="应收票据单位明细"/>
      <sheetName val="货币资金明细表"/>
      <sheetName val="119-4"/>
      <sheetName val="企业提供表"/>
      <sheetName val="商品收发总账"/>
      <sheetName val="其他科目_x005f_x0000__x005f_x0000__x005f_x000d__分析表.X"/>
      <sheetName val="其他科目_x0000__x0000__x000d__分析表.X"/>
      <sheetName val="其他科目_x005f_x005f_x005f_x0000__x005f_x005f_x005f_x0000__"/>
      <sheetName val="附注索引"/>
      <sheetName val="01065"/>
      <sheetName val="日常摊销表"/>
      <sheetName val="抵消分录表"/>
      <sheetName val="合并资产负债过渡表"/>
      <sheetName val="合并利润过渡表"/>
      <sheetName val="子公司调整表"/>
      <sheetName val="合并现金流量过渡表"/>
      <sheetName val="母公司调整表"/>
      <sheetName val="227、JMJD佳美经典"/>
      <sheetName val="_x0000__x0000__x0000__x0000__x0000__x0000__x0000__x0000_"/>
      <sheetName val="_x005f_x0000__x005f_x0000__x005f_x0000__x005f_x0000__x0"/>
      <sheetName val="_x005f_x005f_x005f_x0000__x005f_x005f_x005f_x0000__x005"/>
      <sheetName val="其他科目_x0000__x0000__x000d_[分析表.XLS]G9-1_x0000__x0000__x000d_[分"/>
      <sheetName val="_x005f_x005f_x005f_x005f_x005f_x005f_x005f_x0000__x005f"/>
      <sheetName val="其他科目_x005f_x0000__x005f_x0000__x005f_x000d__分析表.X"/>
      <sheetName val="其他科目_x005f_x005f_x005f_x0000__x005f_x005f_x005f_x0000__"/>
      <sheetName val="_x0000__x0000__x0000__x0000__x0000__x0000__x0000__x0000_"/>
      <sheetName val="_x005f_x0000__x005f_x0000__x005f_x0000__x005f_x0000__x0"/>
      <sheetName val="_x005f_x005f_x005f_x0000__x005f_x005f_x005f_x0000__x005"/>
      <sheetName val="其他科目_x0000__x0000__x000d_[分析表.XLS]G9-1_x0000__x0000__x000d_[分"/>
      <sheetName val="_x005f_x005f_x005f_x005f_x005f_x005f_x005f_x0000__x005f"/>
      <sheetName val="其他科目_x005f_x0000__x005f_x0000__x005f_x000d__分析表.X"/>
      <sheetName val="其他科目_x005f_x005f_x005f_x0000__x005f_x005f_x005f_x0000__"/>
      <sheetName val="_x0000__x0000__x0000__x0000__x0000__x0000__x0000__x0000_"/>
      <sheetName val="_x005f_x0000__x005f_x0000__x005f_x0000__x005f_x0000__x0"/>
      <sheetName val="_x005f_x005f_x005f_x0000__x005f_x005f_x005f_x0000__x005"/>
      <sheetName val="其他科目_x0000__x0000__x000d_[分析表.XLS]G9-1_x0000__x0000__x000d_[分"/>
      <sheetName val="_x005f_x005f_x005f_x005f_x005f_x005f_x005f_x0000__x005f"/>
      <sheetName val="其他科目_x005f_x0000__x005f_x0000__x005f_x000d__分析表.X"/>
      <sheetName val="其他科目_x005f_x005f_x005f_x0000__x005f_x005f_x005f_x0000__"/>
      <sheetName val="_x0000__x0000__x0000__x0000__x0000__x0000__x0000__x0000_"/>
      <sheetName val="_x005f_x0000__x005f_x0000__x005f_x0000__x005f_x0000__x0"/>
      <sheetName val="_x005f_x005f_x005f_x0000__x005f_x005f_x005f_x0000__x005"/>
      <sheetName val="其他科目_x0000__x0000__x000d_[分析表.XLS]G9-1_x0000__x0000__x000d_[分"/>
      <sheetName val="_x005f_x005f_x005f_x005f_x005f_x005f_x005f_x0000__x005f"/>
      <sheetName val="其他科目_x005f_x0000__x005f_x0000__x005f_x000d__分析表.X"/>
      <sheetName val="其他科目_x005f_x005f_x005f_x0000__x005f_x005f_x005f_x0000__"/>
      <sheetName val="_x0000__x0000__x0000__x0000__x0000__x0000__x0000__x0000_"/>
      <sheetName val="_x005f_x0000__x005f_x0000__x005f_x0000__x005f_x0000__x0"/>
      <sheetName val="_x005f_x005f_x005f_x0000__x005f_x005f_x005f_x0000__x005"/>
      <sheetName val="其他科目_x0000__x0000__x000d_[分析表.XLS]G9-1_x0000__x0000__x000d_[分"/>
      <sheetName val="_x005f_x005f_x005f_x005f_x005f_x005f_x005f_x0000__x005f"/>
      <sheetName val="其他科目_x005f_x0000__x005f_x0000__x005f_x000d__分析表.X"/>
      <sheetName val="其他科目_x005f_x005f_x005f_x0000__x005f_x005f_x005f_x0000__"/>
      <sheetName val="_x0000__x0000__x0000__x0000__x0000__x0000__x0000__x0000_"/>
      <sheetName val="_x005f_x0000__x005f_x0000__x005f_x0000__x005f_x0000__x0"/>
      <sheetName val="_x005f_x005f_x005f_x0000__x005f_x005f_x005f_x0000__x005"/>
      <sheetName val="其他科目_x0000__x0000__x000d_[分析表.XLS]G9-1_x0000__x0000__x000d_[分"/>
      <sheetName val="_x005f_x005f_x005f_x005f_x005f_x005f_x005f_x0000__x005f"/>
      <sheetName val="其他科目_x005f_x0000__x005f_x0000__x005f_x000d__分析表.X"/>
      <sheetName val="其他科目_x005f_x005f_x005f_x0000__x005f_x005f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新准则TB"/>
      <sheetName val="试算平衡表"/>
      <sheetName val="XBase"/>
      <sheetName val="选择报表"/>
      <sheetName val="公用信息"/>
      <sheetName val="B"/>
      <sheetName val="yb"/>
      <sheetName val="资产负债表"/>
      <sheetName val="填表人、评估人员（引用表）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库存商品余额表.dbf"/>
      <sheetName val="综合"/>
      <sheetName val="3-1-1现金"/>
      <sheetName val="市场法-计算表"/>
      <sheetName val="dxnsjtempsheet"/>
      <sheetName val="HL"/>
      <sheetName val="W"/>
      <sheetName val="科纳特成本按项目明细-10"/>
      <sheetName val="M_5A"/>
      <sheetName val="M_5C"/>
      <sheetName val="索引"/>
      <sheetName val="完"/>
      <sheetName val="存货"/>
      <sheetName val="调整分录汇总表（1）"/>
      <sheetName val="未分配利润"/>
      <sheetName val="清产核资资产负债表 "/>
      <sheetName val="BALANCE SHEET"/>
      <sheetName val="ARP"/>
      <sheetName val="分析表"/>
      <sheetName val="XL4Poppy"/>
      <sheetName val="评估假设"/>
      <sheetName val="客户基本概况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古越财96"/>
      <sheetName val="试算平衡表"/>
      <sheetName val="#REF!"/>
      <sheetName val="B"/>
      <sheetName val="Validation source"/>
      <sheetName val="Sheet1 (11)"/>
      <sheetName val="短期投资股票投资.dbf"/>
      <sheetName val="短期投资国债投资.dbf"/>
      <sheetName val="股票投资收益.dbf"/>
      <sheetName val="清单12.31"/>
      <sheetName val="其他货币海通.dbf"/>
      <sheetName val="其他货币零领路.dbf"/>
      <sheetName val="投资收益债券.dbf"/>
      <sheetName val="企业表一"/>
      <sheetName val="M-5C"/>
      <sheetName val="M-5A"/>
      <sheetName val="新准则TB"/>
      <sheetName val="XBase"/>
      <sheetName val="XL4Poppy"/>
      <sheetName val="成本法-决算调整法"/>
      <sheetName val="市场法测算表-住宅1"/>
      <sheetName val="市场法测算表-住宅2"/>
      <sheetName val="市场法测算表-住宅3"/>
      <sheetName val="市场法测算表-住宅4"/>
      <sheetName val="市场法测算表-别墅"/>
      <sheetName val="4-6-1房屋建筑物"/>
      <sheetName val="房屋计算表"/>
      <sheetName val="AFEMAI"/>
      <sheetName val="固定资产折旧1月表"/>
      <sheetName val="收入和成本对应表"/>
      <sheetName val="_x0000__x0000__x0000__x0000__x0000__x0000__x0000__x0000_"/>
      <sheetName val="KKKKKKKK"/>
      <sheetName val="삅ོ䚋栠Ѫ"/>
      <sheetName val="삅"/>
      <sheetName val="삅ོ䚋栠"/>
      <sheetName val="삅ོ䚋栠Ѫ_x0000_ࡪ㋨ﯾ_xffff_ﱅ잃蔐緀薼糀謋"/>
      <sheetName val="삅ོ䚋栠Ѫ_x0000_ࡪ㋨ﯾ_xffff_ﱅ"/>
      <sheetName val="삅ོ䚋栠Ѫ_x0000_ࡪ㋨ﯾ_xffff_ﱅ잃"/>
      <sheetName val="삅ོ䚋栠Ѫ_x0000_ࡪ㋨ﯾ_xffff_"/>
      <sheetName val="삅ོ䚋栠Ѫ_x0000_ࡪ㋨"/>
      <sheetName val="_x0000__x0000__x0000__x0000__x0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삅ོ䚋栠Ѫ_x005f_x0000_ࡪ㋨"/>
      <sheetName val="_x005f_x005f_x005f_x0000__x005f_x005f_x005f_x0000__x005"/>
      <sheetName val="应交税费实质性程序"/>
      <sheetName val="全路径科目名称表"/>
      <sheetName val="应交税费明细表"/>
      <sheetName val="折旧复核1102"/>
      <sheetName val="固定资产清理Dy"/>
      <sheetName val="Sheet5"/>
      <sheetName val="Sheet1"/>
      <sheetName val="_x005f_x0000__x005f_x0000__x005"/>
      <sheetName val="_x005f_x005f_x005f_x0000__x005f"/>
      <sheetName val="附A-7"/>
      <sheetName val="评估结果汇总表"/>
      <sheetName val="12.31资产负债表（德勤）"/>
      <sheetName val="yb"/>
      <sheetName val="科目余额表"/>
      <sheetName val="工资数据"/>
      <sheetName val="应付明细表"/>
      <sheetName val="삅ོ䚋栠Ѫ_x005f_x005f_x005f_x0000_ࡪ"/>
      <sheetName val="Consol"/>
      <sheetName val="古越财96.XLS"/>
      <sheetName val="%E5%8F%A4%E8%B6%8A%E8%B4%A296.X"/>
      <sheetName val="商品收发总账"/>
      <sheetName val="目錄"/>
      <sheetName val="完"/>
      <sheetName val="삅ོ䚋栠Ѫ_x005f_x0000_ࡪ㋨ﯾ_xff"/>
      <sheetName val="_x0000__x0000__x005"/>
      <sheetName val="_x005f_x0000__x005f"/>
      <sheetName val="삅ོ䚋栠Ѫ_x0000_ࡪ㋨ﯾ_xff"/>
      <sheetName val="_x0000__x005f"/>
      <sheetName val="삅ོ䚋栠Ѫ_x005f_x005f_x005f_x005f_x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loan database"/>
      <sheetName val="dxnsjtempsheet"/>
      <sheetName val="固定资产折旧费用每月分配表"/>
      <sheetName val="へ㔰彦へ〰弰硟〰昵硟〰〰彟へ㔰彦へ〰弰7开へ㔰彦へ〰弰硟〰昵硟"/>
      <sheetName val="彦へ㔰彦へ㔰彦へ〰弰硟〰ᴵĀ삅ོ䚋栠Ѫ_x005f_x0000_ࡪ㋨ﯾ_x"/>
      <sheetName val="f"/>
      <sheetName val=" hj_x0004__"/>
      <sheetName val="삅ོ䚋栠Ѫ_x005f_x005f_x005f_x005f_x005f_x005f_x005f_x005f_x"/>
      <sheetName val="_x005f_x005f_x005f_x005f_"/>
      <sheetName val="Sheet3"/>
      <sheetName val="合"/>
      <sheetName val="2015年固定资产审定表"/>
      <sheetName val="价格指数"/>
      <sheetName val="_x0000__x0000__x0000__x0000__x0000__x0000__x0000__x0000_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_x005f_x005f_x005f_x0000__x005f_x005f_x005f_x0000__x005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彦へ㔰彦へ㔰彦へ〰弰硟〰ᴵĀ삅ོ䚋栠Ѫ_x005f_x0000_ࡪ㋨ﯾ_x"/>
      <sheetName val="삅ོ䚋栠Ѫ_x005f_x005f_x005f_x005f_x005f_x005f_x005f_x005f_x"/>
      <sheetName val="_x0000__x0000__x0000__x0000__x0000__x0000__x0000__x0000_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_x005f_x005f_x005f_x0000__x005f_x005f_x005f_x0000__x005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彦へ㔰彦へ㔰彦へ〰弰硟〰ᴵĀ삅ོ䚋栠Ѫ_x005f_x0000_ࡪ㋨ﯾ_x"/>
      <sheetName val="삅ོ䚋栠Ѫ_x005f_x005f_x005f_x005f_x005f_x005f_x005f_x005f_x"/>
      <sheetName val="_x0000__x0000__x0000__x0000__x0000__x0000__x0000__x0000_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_x005f_x005f_x005f_x0000__x005f_x005f_x005f_x0000__x005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彦へ㔰彦へ㔰彦へ〰弰硟〰ᴵĀ삅ོ䚋栠Ѫ_x005f_x0000_ࡪ㋨ﯾ_x"/>
      <sheetName val="삅ོ䚋栠Ѫ_x005f_x005f_x005f_x005f_x005f_x005f_x005f_x005f_x"/>
      <sheetName val="_x0000__x0000__x0000__x0000__x0000__x0000__x0000__x0000_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_x005f_x005f_x005f_x0000__x005f_x005f_x005f_x0000__x005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彦へ㔰彦へ㔰彦へ〰弰硟〰ᴵĀ삅ོ䚋栠Ѫ_x005f_x0000_ࡪ㋨ﯾ_x"/>
      <sheetName val="삅ོ䚋栠Ѫ_x005f_x005f_x005f_x005f_x005f_x005f_x005f_x005f_x"/>
      <sheetName val="_x0000__x0000__x0000__x0000__x0000__x0000__x0000__x0000_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_x005f_x005f_x005f_x0000__x005f_x005f_x005f_x0000__x005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彦へ㔰彦へ㔰彦へ〰弰硟〰ᴵĀ삅ོ䚋栠Ѫ_x005f_x0000_ࡪ㋨ﯾ_x"/>
      <sheetName val="삅ོ䚋栠Ѫ_x005f_x005f_x005f_x005f_x005f_x005f_x005f_x005f_x"/>
      <sheetName val="_x0000__x0000__x0000__x0000__x0000__x0000__x0000__x0000_"/>
      <sheetName val="_x005f_x0000__x005f_x0000__x005f_x0000__x005f_x0000__x0"/>
      <sheetName val="삅ོ䚋栠Ѫ_x005f_x0000_ࡪ㋨ﯾ_x005f_xffff_ﱅ잃蔐緀薼糀謋"/>
      <sheetName val="삅ོ䚋栠Ѫ_x005f_x0000_ࡪ㋨ﯾ_x005f_xffff_ﱅ"/>
      <sheetName val="삅ོ䚋栠Ѫ_x005f_x0000_ࡪ㋨ﯾ_x005f_xffff_ﱅ잃"/>
      <sheetName val="삅ོ䚋栠Ѫ_x005f_x0000_ࡪ㋨ﯾ_x005f_xffff_"/>
      <sheetName val="_x005f_x005f_x005f_x0000__x005f_x005f_x005f_x0000__x005"/>
      <sheetName val="삅ོ䚋栠Ѫ_x005f_x005f_x005f_x0000_ࡪ㋨ﯾ_x005f_x005f_xff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00_ࡪ㋨ﯾ_xff"/>
      <sheetName val="彦へ㔰彦へ㔰彦へ〰弰硟〰ᴵĀ삅ོ䚋栠Ѫ_x005f_x0000_ࡪ㋨ﯾ_x"/>
      <sheetName val="삅ོ䚋栠Ѫ_x005f_x005f_x005f_x005f_x005f_x005f_x005f_x005f_x"/>
    </sheetNames>
    <definedNames>
      <definedName name="宏1"/>
      <definedName name="宏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主控表"/>
      <sheetName val="凯地总97"/>
      <sheetName val="科目余额表"/>
      <sheetName val="合"/>
      <sheetName val="XL4Poppy"/>
      <sheetName val="基本情况表"/>
      <sheetName val="值列表"/>
      <sheetName val="企业表一"/>
      <sheetName val="M-5C"/>
      <sheetName val="M-5A"/>
      <sheetName val="KKKKKKKK"/>
      <sheetName val="_x0000__x0000__x0000__x0000__x0000__x0000__x0000__x0000_"/>
      <sheetName val="삅ོ䚋"/>
      <sheetName val="삅ོ䚋栠Ѫ"/>
      <sheetName val="삅"/>
      <sheetName val="삅ོ䚋栠Ѫ_x0000_ࡪ㋨"/>
      <sheetName val="삅ོ䚋栠"/>
      <sheetName val="_x005f_x0000__x005f_x0000__x005f_x0000__x005f_x0000__x0"/>
      <sheetName val="_x0000__x0000__x0000__x0000__x0"/>
      <sheetName val="客户编码"/>
      <sheetName val="삅ོ䚋栠Ѫ_x005f_x0000_ࡪ㋨"/>
      <sheetName val="_x005f_x005f_x005f_x0000__x005f_x005f_x005f_x0000__x005"/>
      <sheetName val="引用区域"/>
      <sheetName val="Sheet1 (11)"/>
      <sheetName val="_x005f_x0000__x005f_x0000__x005"/>
      <sheetName val="_x005f_x005f_x005f_x0000__x005f"/>
      <sheetName val="评估假设"/>
      <sheetName val="商品收发总账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科诺机器设备"/>
      <sheetName val="삅ོ䚋栠Ѫ_x005f_x005f_x005f_x0000_ࡪ"/>
      <sheetName val="_x005f_x005f_x005f_x005f_"/>
      <sheetName val="BALANCE SHEET"/>
      <sheetName val="凯地总97.xls"/>
      <sheetName val="%E5%87%AF%E5%9C%B0%E6%80%BB97.x"/>
      <sheetName val="完"/>
      <sheetName val="物资采购含税转出"/>
      <sheetName val="试算平衡表"/>
      <sheetName val="XBase"/>
      <sheetName val="计算表"/>
      <sheetName val="_x0000__x0000__x005"/>
      <sheetName val="_x005f_x0000__x005f"/>
      <sheetName val="_x0000__x005f"/>
      <sheetName val="삅ོ䚋栠Ѫ_x005f_x005f_x005f_x005f_x"/>
      <sheetName val="可供出售金融资产Dy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固定资产折旧1月表"/>
      <sheetName val="清单12.31"/>
      <sheetName val="其他货币资金.dbf"/>
      <sheetName val="B"/>
      <sheetName val="银行存款.dbf"/>
      <sheetName val="货币资金审定表"/>
      <sheetName val="新准则TB"/>
      <sheetName val="#REF!"/>
      <sheetName val="삅ོ䚋栠Ѫ_x005f_x005f_x005f_x005f_x005f_x005f_x005f_x005f_x"/>
      <sheetName val="Sheet3"/>
      <sheetName val="Sheet1"/>
      <sheetName val="综合"/>
      <sheetName val="3-1-1现金"/>
      <sheetName val="Validation source"/>
      <sheetName val="货币资金"/>
      <sheetName val="初始设定"/>
      <sheetName val="基本信息"/>
      <sheetName val="_x0000__x0000__x0000__x0000__x0000__x0000__x0000__x0000_"/>
      <sheetName val="_x005f_x0000__x005f_x0000__x005f_x0000__x005f_x0000__x0"/>
      <sheetName val="_x005f_x005f_x005f_x0000__x005f_x005f_x005f_x0000__x005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5f_x005f_x005f_x005f_x005f_x"/>
      <sheetName val="_x0000__x0000__x0000__x0000__x0000__x0000__x0000__x0000_"/>
      <sheetName val="_x005f_x0000__x005f_x0000__x005f_x0000__x005f_x0000__x0"/>
      <sheetName val="_x005f_x005f_x005f_x0000__x005f_x005f_x005f_x0000__x005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5f_x005f_x005f_x005f_x005f_x"/>
      <sheetName val="_x0000__x0000__x0000__x0000__x0000__x0000__x0000__x0000_"/>
      <sheetName val="_x005f_x0000__x005f_x0000__x005f_x0000__x005f_x0000__x0"/>
      <sheetName val="_x005f_x005f_x005f_x0000__x005f_x005f_x005f_x0000__x005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5f_x005f_x005f_x005f_x005f_x"/>
      <sheetName val="_x0000__x0000__x0000__x0000__x0000__x0000__x0000__x0000_"/>
      <sheetName val="_x005f_x0000__x005f_x0000__x005f_x0000__x005f_x0000__x0"/>
      <sheetName val="_x005f_x005f_x005f_x0000__x005f_x005f_x005f_x0000__x005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5f_x005f_x005f_x005f_x005f_x"/>
      <sheetName val="_x0000__x0000__x0000__x0000__x0000__x0000__x0000__x0000_"/>
      <sheetName val="_x005f_x0000__x005f_x0000__x005f_x0000__x005f_x0000__x0"/>
      <sheetName val="_x005f_x005f_x005f_x0000__x005f_x005f_x005f_x0000__x005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5f_x005f_x005f_x005f_x005f_x"/>
      <sheetName val="_x0000__x0000__x0000__x0000__x0000__x0000__x0000__x0000_"/>
      <sheetName val="_x005f_x0000__x005f_x0000__x005f_x0000__x005f_x0000__x0"/>
      <sheetName val="_x005f_x005f_x005f_x0000__x005f_x005f_x005f_x0000__x005"/>
      <sheetName val="삅ོ䚋栠Ѫ_x005f_x005f_x005f_x0000_ࡪ㋨"/>
      <sheetName val="_x005f_x005f_x005f_x005f_x005f_x005f_x005f_x0000__x005f"/>
      <sheetName val="삅ོ䚋栠Ѫ_x005f_x005f_x005f_x005f_x005f_x005f_x005f_x0000_ࡪ"/>
      <sheetName val="_x005f_x005f_x005f_x005f_x005f_x005f_x005f_x005f_x005f_x005f_"/>
      <sheetName val="삅ོ䚋栠Ѫ_x005f_x005f_x005f_x005f_x005f_x005f_x005f_x005f_x"/>
    </sheetNames>
    <definedNames>
      <definedName name="控复"/>
      <definedName name="另"/>
      <definedName name="母复"/>
      <definedName name="全复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2"/>
  <sheetViews>
    <sheetView showZeros="0" view="pageBreakPreview" zoomScaleNormal="100" zoomScaleSheetLayoutView="100" workbookViewId="0">
      <selection activeCell="C11" sqref="C11"/>
    </sheetView>
  </sheetViews>
  <sheetFormatPr defaultColWidth="9" defaultRowHeight="15.75" customHeight="1" outlineLevelCol="5"/>
  <cols>
    <col min="1" max="1" width="5.75" style="4" customWidth="1"/>
    <col min="2" max="2" width="28.875" style="4" customWidth="1"/>
    <col min="3" max="3" width="22.375" style="4" customWidth="1"/>
    <col min="4" max="4" width="21.75" style="4" customWidth="1"/>
    <col min="5" max="5" width="19.125" style="4" customWidth="1"/>
    <col min="6" max="6" width="16.125" style="4" customWidth="1"/>
    <col min="7" max="16384" width="9" style="4"/>
  </cols>
  <sheetData>
    <row r="1" s="1" customFormat="1" ht="30" customHeight="1" spans="1:6">
      <c r="A1" s="100" t="s">
        <v>0</v>
      </c>
      <c r="B1" s="100"/>
      <c r="C1" s="100"/>
      <c r="D1" s="100"/>
      <c r="E1" s="100"/>
      <c r="F1" s="100"/>
    </row>
    <row r="2" s="108" customFormat="1" ht="16.5" customHeight="1" spans="1:6">
      <c r="A2" s="68" t="s">
        <v>1</v>
      </c>
      <c r="B2" s="7"/>
      <c r="C2" s="7"/>
      <c r="D2" s="7"/>
      <c r="E2" s="7"/>
      <c r="F2" s="7"/>
    </row>
    <row r="3" s="2" customFormat="1" ht="16.5" customHeight="1" spans="1:6">
      <c r="A3" s="9"/>
      <c r="B3" s="9"/>
      <c r="C3" s="9"/>
      <c r="D3" s="9"/>
      <c r="E3" s="9"/>
      <c r="F3" s="69" t="s">
        <v>2</v>
      </c>
    </row>
    <row r="4" s="2" customFormat="1" ht="16.5" customHeight="1" spans="1:6">
      <c r="A4" s="50" t="s">
        <v>3</v>
      </c>
      <c r="B4" s="10"/>
      <c r="F4" s="43" t="s">
        <v>4</v>
      </c>
    </row>
    <row r="5" s="109" customFormat="1" ht="16.5" customHeight="1" spans="1:6">
      <c r="A5" s="26" t="s">
        <v>5</v>
      </c>
      <c r="B5" s="26"/>
      <c r="C5" s="11" t="s">
        <v>6</v>
      </c>
      <c r="D5" s="11" t="s">
        <v>7</v>
      </c>
      <c r="E5" s="11" t="s">
        <v>8</v>
      </c>
      <c r="F5" s="11" t="s">
        <v>9</v>
      </c>
    </row>
    <row r="6" s="109" customFormat="1" ht="16.5" customHeight="1" spans="1:6">
      <c r="A6" s="26"/>
      <c r="B6" s="26"/>
      <c r="C6" s="11" t="s">
        <v>10</v>
      </c>
      <c r="D6" s="11" t="s">
        <v>11</v>
      </c>
      <c r="E6" s="11" t="s">
        <v>12</v>
      </c>
      <c r="F6" s="11" t="s">
        <v>13</v>
      </c>
    </row>
    <row r="7" s="108" customFormat="1" ht="16.5" customHeight="1" spans="1:6">
      <c r="A7" s="115">
        <v>1</v>
      </c>
      <c r="B7" s="116" t="s">
        <v>14</v>
      </c>
      <c r="C7" s="41">
        <v>0</v>
      </c>
      <c r="D7" s="41">
        <v>0.4</v>
      </c>
      <c r="E7" s="41">
        <f t="shared" ref="E7:E30" si="0">D7-C7</f>
        <v>0.4</v>
      </c>
      <c r="F7" s="41" t="str">
        <f t="shared" ref="F7:F30" si="1">IF(C7=0,"",E7/C7*100)</f>
        <v/>
      </c>
    </row>
    <row r="8" s="108" customFormat="1" ht="16.5" customHeight="1" spans="1:6">
      <c r="A8" s="115">
        <v>2</v>
      </c>
      <c r="B8" s="117" t="s">
        <v>15</v>
      </c>
      <c r="C8" s="41">
        <f>ROUND('4-非流动资产汇总'!C26/10000,2)</f>
        <v>0</v>
      </c>
      <c r="D8" s="41">
        <f>ROUND('4-非流动资产汇总'!D26/10000,2)</f>
        <v>229.44</v>
      </c>
      <c r="E8" s="41">
        <f t="shared" si="0"/>
        <v>229.44</v>
      </c>
      <c r="F8" s="41" t="str">
        <f t="shared" si="1"/>
        <v/>
      </c>
    </row>
    <row r="9" s="110" customFormat="1" ht="16.5" customHeight="1" spans="1:6">
      <c r="A9" s="115">
        <v>3</v>
      </c>
      <c r="B9" s="118" t="s">
        <v>16</v>
      </c>
      <c r="C9" s="41">
        <f>ROUND('4-非流动资产汇总'!C6/10000,2)</f>
        <v>0</v>
      </c>
      <c r="D9" s="41">
        <f>ROUND('4-非流动资产汇总'!D6/10000,2)</f>
        <v>0</v>
      </c>
      <c r="E9" s="41">
        <f t="shared" si="0"/>
        <v>0</v>
      </c>
      <c r="F9" s="41" t="str">
        <f t="shared" si="1"/>
        <v/>
      </c>
    </row>
    <row r="10" s="110" customFormat="1" ht="16.5" customHeight="1" spans="1:6">
      <c r="A10" s="115">
        <v>4</v>
      </c>
      <c r="B10" s="118" t="s">
        <v>17</v>
      </c>
      <c r="C10" s="41">
        <f>ROUND('4-非流动资产汇总'!C7/10000,2)</f>
        <v>0</v>
      </c>
      <c r="D10" s="41">
        <f>ROUND('4-非流动资产汇总'!D7/10000,2)</f>
        <v>0</v>
      </c>
      <c r="E10" s="41">
        <f t="shared" si="0"/>
        <v>0</v>
      </c>
      <c r="F10" s="41" t="str">
        <f t="shared" si="1"/>
        <v/>
      </c>
    </row>
    <row r="11" s="110" customFormat="1" ht="16.5" customHeight="1" spans="1:6">
      <c r="A11" s="115">
        <v>5</v>
      </c>
      <c r="B11" s="118" t="s">
        <v>18</v>
      </c>
      <c r="C11" s="41">
        <f>ROUND('4-非流动资产汇总'!C8/10000,2)</f>
        <v>0</v>
      </c>
      <c r="D11" s="41">
        <f>ROUND('4-非流动资产汇总'!D8/10000,2)</f>
        <v>0</v>
      </c>
      <c r="E11" s="41">
        <f t="shared" si="0"/>
        <v>0</v>
      </c>
      <c r="F11" s="41" t="str">
        <f t="shared" si="1"/>
        <v/>
      </c>
    </row>
    <row r="12" s="110" customFormat="1" ht="16.5" customHeight="1" spans="1:6">
      <c r="A12" s="115">
        <v>6</v>
      </c>
      <c r="B12" s="118" t="s">
        <v>19</v>
      </c>
      <c r="C12" s="41">
        <f>ROUND('4-非流动资产汇总'!C9/10000,2)</f>
        <v>0</v>
      </c>
      <c r="D12" s="41">
        <f>ROUND('4-非流动资产汇总'!D9/10000,2)</f>
        <v>0</v>
      </c>
      <c r="E12" s="41">
        <f t="shared" si="0"/>
        <v>0</v>
      </c>
      <c r="F12" s="41" t="str">
        <f t="shared" si="1"/>
        <v/>
      </c>
    </row>
    <row r="13" s="110" customFormat="1" ht="16.5" customHeight="1" spans="1:6">
      <c r="A13" s="115">
        <v>7</v>
      </c>
      <c r="B13" s="118" t="s">
        <v>20</v>
      </c>
      <c r="C13" s="41">
        <f>ROUND('4-非流动资产汇总'!C10/10000,2)</f>
        <v>0</v>
      </c>
      <c r="D13" s="41">
        <f>ROUND('4-非流动资产汇总'!D10/10000,2)</f>
        <v>0</v>
      </c>
      <c r="E13" s="41">
        <f t="shared" si="0"/>
        <v>0</v>
      </c>
      <c r="F13" s="41" t="str">
        <f t="shared" si="1"/>
        <v/>
      </c>
    </row>
    <row r="14" s="110" customFormat="1" ht="16.5" customHeight="1" spans="1:6">
      <c r="A14" s="115">
        <v>8</v>
      </c>
      <c r="B14" s="118" t="s">
        <v>21</v>
      </c>
      <c r="C14" s="41">
        <f>ROUND('4-非流动资产汇总'!C11/10000,2)</f>
        <v>0</v>
      </c>
      <c r="D14" s="41">
        <f>ROUND('4-非流动资产汇总'!D11/10000,2)</f>
        <v>229.44</v>
      </c>
      <c r="E14" s="41">
        <f t="shared" si="0"/>
        <v>229.44</v>
      </c>
      <c r="F14" s="41" t="str">
        <f t="shared" si="1"/>
        <v/>
      </c>
    </row>
    <row r="15" s="110" customFormat="1" ht="16.5" customHeight="1" spans="1:6">
      <c r="A15" s="115">
        <v>9</v>
      </c>
      <c r="B15" s="118" t="s">
        <v>22</v>
      </c>
      <c r="C15" s="41">
        <f>ROUND('4-非流动资产汇总'!C12/10000,2)</f>
        <v>0</v>
      </c>
      <c r="D15" s="41">
        <f>ROUND('4-非流动资产汇总'!D12/10000,2)</f>
        <v>0</v>
      </c>
      <c r="E15" s="41">
        <f t="shared" si="0"/>
        <v>0</v>
      </c>
      <c r="F15" s="41" t="str">
        <f t="shared" si="1"/>
        <v/>
      </c>
    </row>
    <row r="16" s="110" customFormat="1" ht="16.5" customHeight="1" spans="1:6">
      <c r="A16" s="115">
        <v>10</v>
      </c>
      <c r="B16" s="118" t="s">
        <v>23</v>
      </c>
      <c r="C16" s="41">
        <f>ROUND('4-非流动资产汇总'!C13/10000,2)</f>
        <v>0</v>
      </c>
      <c r="D16" s="41">
        <f>ROUND('4-非流动资产汇总'!D13/10000,2)</f>
        <v>0</v>
      </c>
      <c r="E16" s="41">
        <f t="shared" si="0"/>
        <v>0</v>
      </c>
      <c r="F16" s="41" t="str">
        <f t="shared" si="1"/>
        <v/>
      </c>
    </row>
    <row r="17" s="110" customFormat="1" ht="16.5" customHeight="1" spans="1:6">
      <c r="A17" s="115">
        <v>11</v>
      </c>
      <c r="B17" s="118" t="s">
        <v>24</v>
      </c>
      <c r="C17" s="41">
        <f>ROUND('4-非流动资产汇总'!C14/10000,2)</f>
        <v>0</v>
      </c>
      <c r="D17" s="41">
        <f>ROUND('4-非流动资产汇总'!D14/10000,2)</f>
        <v>0</v>
      </c>
      <c r="E17" s="41">
        <f t="shared" si="0"/>
        <v>0</v>
      </c>
      <c r="F17" s="41" t="str">
        <f t="shared" si="1"/>
        <v/>
      </c>
    </row>
    <row r="18" s="110" customFormat="1" ht="16.5" customHeight="1" spans="1:6">
      <c r="A18" s="115">
        <v>12</v>
      </c>
      <c r="B18" s="118" t="s">
        <v>25</v>
      </c>
      <c r="C18" s="41">
        <f>ROUND('4-非流动资产汇总'!C15/10000,2)</f>
        <v>0</v>
      </c>
      <c r="D18" s="41">
        <f>ROUND('4-非流动资产汇总'!D15/10000,2)</f>
        <v>0</v>
      </c>
      <c r="E18" s="41">
        <f t="shared" si="0"/>
        <v>0</v>
      </c>
      <c r="F18" s="41" t="str">
        <f t="shared" si="1"/>
        <v/>
      </c>
    </row>
    <row r="19" s="110" customFormat="1" ht="16.5" customHeight="1" spans="1:6">
      <c r="A19" s="115">
        <v>13</v>
      </c>
      <c r="B19" s="118" t="s">
        <v>26</v>
      </c>
      <c r="C19" s="41">
        <f>ROUND('4-非流动资产汇总'!C16/10000,2)</f>
        <v>0</v>
      </c>
      <c r="D19" s="41">
        <f>ROUND('4-非流动资产汇总'!D16/10000,2)</f>
        <v>0</v>
      </c>
      <c r="E19" s="41">
        <f t="shared" si="0"/>
        <v>0</v>
      </c>
      <c r="F19" s="41" t="str">
        <f t="shared" si="1"/>
        <v/>
      </c>
    </row>
    <row r="20" s="111" customFormat="1" ht="16.5" customHeight="1" spans="1:6">
      <c r="A20" s="115">
        <v>14</v>
      </c>
      <c r="B20" s="118" t="s">
        <v>27</v>
      </c>
      <c r="C20" s="41">
        <f>ROUND('4-非流动资产汇总'!C17/10000,2)</f>
        <v>0</v>
      </c>
      <c r="D20" s="41">
        <f>ROUND('4-非流动资产汇总'!D17/10000,2)</f>
        <v>0</v>
      </c>
      <c r="E20" s="41">
        <f t="shared" si="0"/>
        <v>0</v>
      </c>
      <c r="F20" s="41" t="str">
        <f t="shared" si="1"/>
        <v/>
      </c>
    </row>
    <row r="21" s="111" customFormat="1" ht="16.5" customHeight="1" spans="1:6">
      <c r="A21" s="115">
        <v>15</v>
      </c>
      <c r="B21" s="118" t="s">
        <v>28</v>
      </c>
      <c r="C21" s="41">
        <f>ROUND('4-非流动资产汇总'!C18/10000,2)</f>
        <v>0</v>
      </c>
      <c r="D21" s="41">
        <f>ROUND('4-非流动资产汇总'!D18/10000,2)</f>
        <v>0</v>
      </c>
      <c r="E21" s="41">
        <f t="shared" si="0"/>
        <v>0</v>
      </c>
      <c r="F21" s="41" t="str">
        <f t="shared" si="1"/>
        <v/>
      </c>
    </row>
    <row r="22" s="111" customFormat="1" ht="16.5" customHeight="1" spans="1:6">
      <c r="A22" s="115">
        <v>16</v>
      </c>
      <c r="B22" s="118" t="s">
        <v>29</v>
      </c>
      <c r="C22" s="41">
        <f>ROUND('4-非流动资产汇总'!C19/10000,2)</f>
        <v>0</v>
      </c>
      <c r="D22" s="41">
        <f>ROUND('4-非流动资产汇总'!D19/10000,2)</f>
        <v>0</v>
      </c>
      <c r="E22" s="41">
        <f t="shared" si="0"/>
        <v>0</v>
      </c>
      <c r="F22" s="41" t="str">
        <f t="shared" si="1"/>
        <v/>
      </c>
    </row>
    <row r="23" s="111" customFormat="1" ht="16.5" customHeight="1" spans="1:6">
      <c r="A23" s="115">
        <v>17</v>
      </c>
      <c r="B23" s="118" t="s">
        <v>30</v>
      </c>
      <c r="C23" s="41">
        <f>ROUND('4-非流动资产汇总'!C20/10000,2)</f>
        <v>0</v>
      </c>
      <c r="D23" s="41">
        <f>ROUND('4-非流动资产汇总'!D20/10000,2)</f>
        <v>0</v>
      </c>
      <c r="E23" s="41">
        <f t="shared" si="0"/>
        <v>0</v>
      </c>
      <c r="F23" s="41" t="str">
        <f t="shared" si="1"/>
        <v/>
      </c>
    </row>
    <row r="24" s="111" customFormat="1" ht="16.5" customHeight="1" spans="1:6">
      <c r="A24" s="115">
        <v>18</v>
      </c>
      <c r="B24" s="118" t="s">
        <v>31</v>
      </c>
      <c r="C24" s="41">
        <f>ROUND('4-非流动资产汇总'!C21/10000,2)</f>
        <v>0</v>
      </c>
      <c r="D24" s="41">
        <f>ROUND('4-非流动资产汇总'!D21/10000,2)</f>
        <v>0</v>
      </c>
      <c r="E24" s="41">
        <f t="shared" si="0"/>
        <v>0</v>
      </c>
      <c r="F24" s="41" t="str">
        <f t="shared" si="1"/>
        <v/>
      </c>
    </row>
    <row r="25" s="111" customFormat="1" ht="16.5" customHeight="1" spans="1:6">
      <c r="A25" s="115">
        <v>19</v>
      </c>
      <c r="B25" s="118" t="s">
        <v>32</v>
      </c>
      <c r="C25" s="41">
        <f>ROUND('4-非流动资产汇总'!C22/10000,2)</f>
        <v>0</v>
      </c>
      <c r="D25" s="41">
        <f>ROUND('4-非流动资产汇总'!D22/10000,2)</f>
        <v>0</v>
      </c>
      <c r="E25" s="41">
        <f t="shared" si="0"/>
        <v>0</v>
      </c>
      <c r="F25" s="41" t="str">
        <f t="shared" si="1"/>
        <v/>
      </c>
    </row>
    <row r="26" s="112" customFormat="1" ht="16.5" customHeight="1" spans="1:6">
      <c r="A26" s="119">
        <v>20</v>
      </c>
      <c r="B26" s="120" t="s">
        <v>33</v>
      </c>
      <c r="C26" s="105">
        <f>SUM(C7:C8)</f>
        <v>0</v>
      </c>
      <c r="D26" s="105">
        <f>SUM(D7:D8)</f>
        <v>229.84</v>
      </c>
      <c r="E26" s="105">
        <f t="shared" si="0"/>
        <v>229.84</v>
      </c>
      <c r="F26" s="105" t="str">
        <f t="shared" si="1"/>
        <v/>
      </c>
    </row>
    <row r="27" s="113" customFormat="1" ht="16.5" customHeight="1" spans="1:6">
      <c r="A27" s="115">
        <v>21</v>
      </c>
      <c r="B27" s="121" t="s">
        <v>34</v>
      </c>
      <c r="C27" s="41">
        <v>0</v>
      </c>
      <c r="D27" s="41">
        <v>0</v>
      </c>
      <c r="E27" s="41">
        <f t="shared" si="0"/>
        <v>0</v>
      </c>
      <c r="F27" s="41" t="str">
        <f t="shared" si="1"/>
        <v/>
      </c>
    </row>
    <row r="28" s="113" customFormat="1" ht="16.5" customHeight="1" spans="1:6">
      <c r="A28" s="115">
        <v>22</v>
      </c>
      <c r="B28" s="121" t="s">
        <v>35</v>
      </c>
      <c r="C28" s="41">
        <v>0</v>
      </c>
      <c r="D28" s="41">
        <v>0</v>
      </c>
      <c r="E28" s="41">
        <f t="shared" si="0"/>
        <v>0</v>
      </c>
      <c r="F28" s="41" t="str">
        <f t="shared" si="1"/>
        <v/>
      </c>
    </row>
    <row r="29" s="112" customFormat="1" ht="16.5" customHeight="1" spans="1:6">
      <c r="A29" s="119">
        <v>23</v>
      </c>
      <c r="B29" s="120" t="s">
        <v>36</v>
      </c>
      <c r="C29" s="105">
        <f>SUM(C27:C28)</f>
        <v>0</v>
      </c>
      <c r="D29" s="105">
        <f>SUM(D27:D28)</f>
        <v>0</v>
      </c>
      <c r="E29" s="105">
        <f t="shared" si="0"/>
        <v>0</v>
      </c>
      <c r="F29" s="105" t="str">
        <f t="shared" si="1"/>
        <v/>
      </c>
    </row>
    <row r="30" s="112" customFormat="1" ht="16.5" customHeight="1" spans="1:6">
      <c r="A30" s="119">
        <v>24</v>
      </c>
      <c r="B30" s="120" t="s">
        <v>37</v>
      </c>
      <c r="C30" s="105">
        <f>C26-C29</f>
        <v>0</v>
      </c>
      <c r="D30" s="105">
        <f>D26-D29</f>
        <v>229.84</v>
      </c>
      <c r="E30" s="105">
        <f t="shared" si="0"/>
        <v>229.84</v>
      </c>
      <c r="F30" s="105" t="str">
        <f t="shared" si="1"/>
        <v/>
      </c>
    </row>
    <row r="31" s="2" customFormat="1" ht="16.5" customHeight="1" spans="5:6">
      <c r="E31" s="122"/>
      <c r="F31" s="123" t="s">
        <v>38</v>
      </c>
    </row>
    <row r="32" s="114" customFormat="1" ht="12.75" customHeight="1" spans="3:5">
      <c r="C32" s="2" t="str">
        <f>IF((C26-C29)=C30,"","不平")</f>
        <v/>
      </c>
      <c r="D32" s="2" t="str">
        <f>IF((D26-D29)=D30,"","不平")</f>
        <v/>
      </c>
      <c r="E32" s="2"/>
    </row>
  </sheetData>
  <sheetProtection formatColumns="0"/>
  <mergeCells count="2">
    <mergeCell ref="A1:F1"/>
    <mergeCell ref="A5:B6"/>
  </mergeCells>
  <printOptions horizontalCentered="1"/>
  <pageMargins left="0.747916666666667" right="0.747916666666667" top="0.865277777777778" bottom="0.629166666666667" header="0.984027777777778" footer="0.15625"/>
  <pageSetup paperSize="9" scale="96" orientation="landscape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0"/>
  <sheetViews>
    <sheetView showZeros="0" view="pageBreakPreview" zoomScaleNormal="100" zoomScaleSheetLayoutView="100" workbookViewId="0">
      <selection activeCell="D13" sqref="D13"/>
    </sheetView>
  </sheetViews>
  <sheetFormatPr defaultColWidth="9" defaultRowHeight="15.75" customHeight="1" outlineLevelCol="6"/>
  <cols>
    <col min="1" max="1" width="6.875" style="4" customWidth="1"/>
    <col min="2" max="2" width="29.875" style="4" customWidth="1"/>
    <col min="3" max="3" width="22.375" style="4" customWidth="1"/>
    <col min="4" max="4" width="36.25" style="4" customWidth="1"/>
    <col min="5" max="5" width="20.25" style="4" customWidth="1"/>
    <col min="6" max="6" width="16.875" style="91" customWidth="1"/>
    <col min="7" max="16384" width="9" style="4"/>
  </cols>
  <sheetData>
    <row r="1" s="1" customFormat="1" ht="30" customHeight="1" spans="1:6">
      <c r="A1" s="100" t="s">
        <v>39</v>
      </c>
      <c r="B1" s="100"/>
      <c r="C1" s="100"/>
      <c r="D1" s="100"/>
      <c r="E1" s="100"/>
      <c r="F1" s="100"/>
    </row>
    <row r="2" ht="14.65" customHeight="1" spans="1:6">
      <c r="A2" s="101" t="s">
        <v>1</v>
      </c>
      <c r="B2" s="9"/>
      <c r="C2" s="9"/>
      <c r="D2" s="9"/>
      <c r="E2" s="9"/>
      <c r="F2" s="9"/>
    </row>
    <row r="3" s="2" customFormat="1" ht="14.65" customHeight="1" spans="1:6">
      <c r="A3" s="9"/>
      <c r="B3" s="9"/>
      <c r="C3" s="9"/>
      <c r="D3" s="9"/>
      <c r="E3" s="9"/>
      <c r="F3" s="69" t="s">
        <v>40</v>
      </c>
    </row>
    <row r="4" s="2" customFormat="1" ht="14.65" customHeight="1" spans="1:6">
      <c r="A4" s="50" t="s">
        <v>41</v>
      </c>
      <c r="F4" s="102" t="s">
        <v>42</v>
      </c>
    </row>
    <row r="5" s="3" customFormat="1" ht="16.5" customHeight="1" spans="1:7">
      <c r="A5" s="11" t="s">
        <v>43</v>
      </c>
      <c r="B5" s="60" t="s">
        <v>44</v>
      </c>
      <c r="C5" s="30" t="s">
        <v>6</v>
      </c>
      <c r="D5" s="11" t="s">
        <v>7</v>
      </c>
      <c r="E5" s="11" t="s">
        <v>8</v>
      </c>
      <c r="F5" s="26" t="s">
        <v>45</v>
      </c>
      <c r="G5" s="3" t="s">
        <v>46</v>
      </c>
    </row>
    <row r="6" s="98" customFormat="1" ht="14.65" customHeight="1" spans="1:6">
      <c r="A6" s="103">
        <v>1</v>
      </c>
      <c r="B6" s="104" t="s">
        <v>47</v>
      </c>
      <c r="C6" s="105">
        <f>SUM(C7:C17)</f>
        <v>0</v>
      </c>
      <c r="D6" s="105">
        <f>SUM(D7:D17)</f>
        <v>3970</v>
      </c>
      <c r="E6" s="105">
        <f t="shared" ref="E6:E59" si="0">D6-C6</f>
        <v>3970</v>
      </c>
      <c r="F6" s="105" t="str">
        <f t="shared" ref="F6:F59" si="1">IF(C6=0,"",E6/C6*100)</f>
        <v/>
      </c>
    </row>
    <row r="7" ht="14.65" customHeight="1" spans="1:7">
      <c r="A7" s="11">
        <v>2</v>
      </c>
      <c r="B7" s="72" t="s">
        <v>48</v>
      </c>
      <c r="C7" s="41">
        <v>0</v>
      </c>
      <c r="D7" s="41">
        <v>0</v>
      </c>
      <c r="E7" s="41">
        <f t="shared" si="0"/>
        <v>0</v>
      </c>
      <c r="F7" s="41" t="str">
        <f t="shared" si="1"/>
        <v/>
      </c>
      <c r="G7" s="106">
        <v>0</v>
      </c>
    </row>
    <row r="8" ht="14.65" customHeight="1" spans="1:7">
      <c r="A8" s="11">
        <v>3</v>
      </c>
      <c r="B8" s="72" t="s">
        <v>49</v>
      </c>
      <c r="C8" s="41">
        <v>0</v>
      </c>
      <c r="D8" s="41">
        <v>0</v>
      </c>
      <c r="E8" s="41">
        <f t="shared" si="0"/>
        <v>0</v>
      </c>
      <c r="F8" s="41" t="str">
        <f t="shared" si="1"/>
        <v/>
      </c>
      <c r="G8" s="106">
        <v>0</v>
      </c>
    </row>
    <row r="9" ht="14.65" customHeight="1" spans="1:7">
      <c r="A9" s="11">
        <v>4</v>
      </c>
      <c r="B9" s="72" t="s">
        <v>50</v>
      </c>
      <c r="C9" s="41">
        <v>0</v>
      </c>
      <c r="D9" s="41">
        <v>0</v>
      </c>
      <c r="E9" s="41">
        <f t="shared" si="0"/>
        <v>0</v>
      </c>
      <c r="F9" s="41" t="str">
        <f t="shared" si="1"/>
        <v/>
      </c>
      <c r="G9" s="106">
        <v>0</v>
      </c>
    </row>
    <row r="10" ht="14.65" customHeight="1" spans="1:7">
      <c r="A10" s="11">
        <v>5</v>
      </c>
      <c r="B10" s="72" t="s">
        <v>51</v>
      </c>
      <c r="C10" s="41">
        <v>0</v>
      </c>
      <c r="D10" s="41">
        <v>0</v>
      </c>
      <c r="E10" s="41">
        <f t="shared" si="0"/>
        <v>0</v>
      </c>
      <c r="F10" s="41" t="str">
        <f t="shared" si="1"/>
        <v/>
      </c>
      <c r="G10" s="106">
        <v>0</v>
      </c>
    </row>
    <row r="11" ht="14.65" customHeight="1" spans="1:7">
      <c r="A11" s="11">
        <v>6</v>
      </c>
      <c r="B11" s="72" t="s">
        <v>52</v>
      </c>
      <c r="C11" s="41">
        <v>0</v>
      </c>
      <c r="D11" s="41">
        <v>0</v>
      </c>
      <c r="E11" s="41">
        <f t="shared" si="0"/>
        <v>0</v>
      </c>
      <c r="F11" s="41" t="str">
        <f t="shared" si="1"/>
        <v/>
      </c>
      <c r="G11" s="106">
        <v>0</v>
      </c>
    </row>
    <row r="12" ht="14.65" customHeight="1" spans="1:7">
      <c r="A12" s="11">
        <v>7</v>
      </c>
      <c r="B12" s="72" t="s">
        <v>53</v>
      </c>
      <c r="C12" s="41">
        <v>0</v>
      </c>
      <c r="D12" s="41">
        <v>0</v>
      </c>
      <c r="E12" s="41">
        <f t="shared" si="0"/>
        <v>0</v>
      </c>
      <c r="F12" s="41" t="str">
        <f t="shared" si="1"/>
        <v/>
      </c>
      <c r="G12" s="106">
        <v>0</v>
      </c>
    </row>
    <row r="13" ht="14.65" customHeight="1" spans="1:7">
      <c r="A13" s="11">
        <v>8</v>
      </c>
      <c r="B13" s="72" t="s">
        <v>54</v>
      </c>
      <c r="C13" s="41">
        <v>0</v>
      </c>
      <c r="D13" s="41">
        <v>0</v>
      </c>
      <c r="E13" s="41">
        <f t="shared" si="0"/>
        <v>0</v>
      </c>
      <c r="F13" s="41" t="str">
        <f t="shared" si="1"/>
        <v/>
      </c>
      <c r="G13" s="106">
        <v>0</v>
      </c>
    </row>
    <row r="14" ht="14.65" customHeight="1" spans="1:7">
      <c r="A14" s="11">
        <v>9</v>
      </c>
      <c r="B14" s="72" t="s">
        <v>55</v>
      </c>
      <c r="C14" s="41">
        <v>0</v>
      </c>
      <c r="D14" s="41">
        <v>0</v>
      </c>
      <c r="E14" s="41">
        <f t="shared" si="0"/>
        <v>0</v>
      </c>
      <c r="F14" s="41" t="str">
        <f t="shared" si="1"/>
        <v/>
      </c>
      <c r="G14" s="106">
        <v>0</v>
      </c>
    </row>
    <row r="15" ht="14.65" customHeight="1" spans="1:7">
      <c r="A15" s="11">
        <v>10</v>
      </c>
      <c r="B15" s="72" t="s">
        <v>56</v>
      </c>
      <c r="C15" s="41">
        <v>0</v>
      </c>
      <c r="D15" s="41">
        <v>3970</v>
      </c>
      <c r="E15" s="41">
        <f t="shared" si="0"/>
        <v>3970</v>
      </c>
      <c r="F15" s="41" t="str">
        <f t="shared" si="1"/>
        <v/>
      </c>
      <c r="G15" s="106">
        <v>0</v>
      </c>
    </row>
    <row r="16" ht="14.65" customHeight="1" spans="1:7">
      <c r="A16" s="11">
        <v>11</v>
      </c>
      <c r="B16" s="72" t="s">
        <v>57</v>
      </c>
      <c r="C16" s="41">
        <v>0</v>
      </c>
      <c r="D16" s="41">
        <v>0</v>
      </c>
      <c r="E16" s="41">
        <f t="shared" si="0"/>
        <v>0</v>
      </c>
      <c r="F16" s="41" t="str">
        <f t="shared" si="1"/>
        <v/>
      </c>
      <c r="G16" s="106">
        <v>0</v>
      </c>
    </row>
    <row r="17" ht="14.65" customHeight="1" spans="1:7">
      <c r="A17" s="11">
        <v>12</v>
      </c>
      <c r="B17" s="72" t="s">
        <v>58</v>
      </c>
      <c r="C17" s="41">
        <v>0</v>
      </c>
      <c r="D17" s="41">
        <v>0</v>
      </c>
      <c r="E17" s="41">
        <f t="shared" si="0"/>
        <v>0</v>
      </c>
      <c r="F17" s="41" t="str">
        <f t="shared" si="1"/>
        <v/>
      </c>
      <c r="G17" s="106">
        <v>0</v>
      </c>
    </row>
    <row r="18" s="98" customFormat="1" ht="14.65" customHeight="1" spans="1:6">
      <c r="A18" s="11">
        <v>13</v>
      </c>
      <c r="B18" s="104" t="s">
        <v>59</v>
      </c>
      <c r="C18" s="105">
        <f>SUM(C19:C35)</f>
        <v>0</v>
      </c>
      <c r="D18" s="105">
        <f>SUM(D19:D35)</f>
        <v>2294400</v>
      </c>
      <c r="E18" s="105">
        <f t="shared" si="0"/>
        <v>2294400</v>
      </c>
      <c r="F18" s="105" t="str">
        <f t="shared" si="1"/>
        <v/>
      </c>
    </row>
    <row r="19" ht="14.65" customHeight="1" spans="1:7">
      <c r="A19" s="11">
        <v>14</v>
      </c>
      <c r="B19" s="72" t="s">
        <v>60</v>
      </c>
      <c r="C19" s="41">
        <f>'4-非流动资产汇总'!C6</f>
        <v>0</v>
      </c>
      <c r="D19" s="41">
        <f>'4-非流动资产汇总'!D6</f>
        <v>0</v>
      </c>
      <c r="E19" s="41">
        <f t="shared" si="0"/>
        <v>0</v>
      </c>
      <c r="F19" s="41" t="str">
        <f t="shared" si="1"/>
        <v/>
      </c>
      <c r="G19" s="106">
        <f>C19-'4-非流动资产汇总'!C6</f>
        <v>0</v>
      </c>
    </row>
    <row r="20" ht="14.65" customHeight="1" spans="1:7">
      <c r="A20" s="11">
        <v>15</v>
      </c>
      <c r="B20" s="72" t="s">
        <v>61</v>
      </c>
      <c r="C20" s="41">
        <f>'4-非流动资产汇总'!C7</f>
        <v>0</v>
      </c>
      <c r="D20" s="41">
        <f>'4-非流动资产汇总'!D7</f>
        <v>0</v>
      </c>
      <c r="E20" s="41">
        <f t="shared" si="0"/>
        <v>0</v>
      </c>
      <c r="F20" s="41" t="str">
        <f t="shared" si="1"/>
        <v/>
      </c>
      <c r="G20" s="106">
        <f>C20-'4-非流动资产汇总'!C7</f>
        <v>0</v>
      </c>
    </row>
    <row r="21" ht="14.65" customHeight="1" spans="1:7">
      <c r="A21" s="11">
        <v>16</v>
      </c>
      <c r="B21" s="72" t="s">
        <v>62</v>
      </c>
      <c r="C21" s="41">
        <f>'4-非流动资产汇总'!C8</f>
        <v>0</v>
      </c>
      <c r="D21" s="41">
        <f>'4-非流动资产汇总'!D8</f>
        <v>0</v>
      </c>
      <c r="E21" s="41">
        <f t="shared" si="0"/>
        <v>0</v>
      </c>
      <c r="F21" s="41" t="str">
        <f t="shared" si="1"/>
        <v/>
      </c>
      <c r="G21" s="106">
        <f>C21-'4-非流动资产汇总'!C8</f>
        <v>0</v>
      </c>
    </row>
    <row r="22" ht="14.65" customHeight="1" spans="1:7">
      <c r="A22" s="11">
        <v>17</v>
      </c>
      <c r="B22" s="72" t="s">
        <v>63</v>
      </c>
      <c r="C22" s="41">
        <f>'4-非流动资产汇总'!C9</f>
        <v>0</v>
      </c>
      <c r="D22" s="41">
        <f>'4-非流动资产汇总'!D9</f>
        <v>0</v>
      </c>
      <c r="E22" s="41">
        <f t="shared" si="0"/>
        <v>0</v>
      </c>
      <c r="F22" s="41" t="str">
        <f t="shared" si="1"/>
        <v/>
      </c>
      <c r="G22" s="106">
        <f>C22-'4-非流动资产汇总'!C9</f>
        <v>0</v>
      </c>
    </row>
    <row r="23" ht="14.65" customHeight="1" spans="1:7">
      <c r="A23" s="11">
        <v>18</v>
      </c>
      <c r="B23" s="72" t="s">
        <v>64</v>
      </c>
      <c r="C23" s="41">
        <f>'4-非流动资产汇总'!C10</f>
        <v>0</v>
      </c>
      <c r="D23" s="41">
        <f>'4-非流动资产汇总'!D10</f>
        <v>0</v>
      </c>
      <c r="E23" s="41">
        <f t="shared" si="0"/>
        <v>0</v>
      </c>
      <c r="F23" s="41" t="str">
        <f t="shared" si="1"/>
        <v/>
      </c>
      <c r="G23" s="106">
        <f>C23-'4-非流动资产汇总'!C10</f>
        <v>0</v>
      </c>
    </row>
    <row r="24" ht="14.65" customHeight="1" spans="1:7">
      <c r="A24" s="11">
        <v>19</v>
      </c>
      <c r="B24" s="74" t="s">
        <v>21</v>
      </c>
      <c r="C24" s="41">
        <f>'4-非流动资产汇总'!C11</f>
        <v>0</v>
      </c>
      <c r="D24" s="41">
        <f>'4-非流动资产汇总'!D11</f>
        <v>2294400</v>
      </c>
      <c r="E24" s="41">
        <f t="shared" si="0"/>
        <v>2294400</v>
      </c>
      <c r="F24" s="41" t="str">
        <f t="shared" si="1"/>
        <v/>
      </c>
      <c r="G24" s="106">
        <f>C24-'4-非流动资产汇总'!C11</f>
        <v>0</v>
      </c>
    </row>
    <row r="25" ht="14.65" customHeight="1" spans="1:7">
      <c r="A25" s="11">
        <v>20</v>
      </c>
      <c r="B25" s="72" t="s">
        <v>65</v>
      </c>
      <c r="C25" s="41">
        <f>'4-非流动资产汇总'!C12</f>
        <v>0</v>
      </c>
      <c r="D25" s="41">
        <f>'4-非流动资产汇总'!D12</f>
        <v>0</v>
      </c>
      <c r="E25" s="41">
        <f t="shared" si="0"/>
        <v>0</v>
      </c>
      <c r="F25" s="41" t="str">
        <f t="shared" si="1"/>
        <v/>
      </c>
      <c r="G25" s="106">
        <f>C25-'4-非流动资产汇总'!C12</f>
        <v>0</v>
      </c>
    </row>
    <row r="26" ht="14.65" customHeight="1" spans="1:7">
      <c r="A26" s="11">
        <v>21</v>
      </c>
      <c r="B26" s="72" t="s">
        <v>66</v>
      </c>
      <c r="C26" s="41">
        <f>'4-非流动资产汇总'!C13</f>
        <v>0</v>
      </c>
      <c r="D26" s="41">
        <f>'4-非流动资产汇总'!D13</f>
        <v>0</v>
      </c>
      <c r="E26" s="41">
        <f t="shared" si="0"/>
        <v>0</v>
      </c>
      <c r="F26" s="41" t="str">
        <f t="shared" si="1"/>
        <v/>
      </c>
      <c r="G26" s="106">
        <f>C26-'4-非流动资产汇总'!C13</f>
        <v>0</v>
      </c>
    </row>
    <row r="27" ht="14.65" customHeight="1" spans="1:7">
      <c r="A27" s="11">
        <v>22</v>
      </c>
      <c r="B27" s="72" t="s">
        <v>67</v>
      </c>
      <c r="C27" s="41">
        <f>'4-非流动资产汇总'!C14</f>
        <v>0</v>
      </c>
      <c r="D27" s="41">
        <f>'4-非流动资产汇总'!D14</f>
        <v>0</v>
      </c>
      <c r="E27" s="41">
        <f t="shared" si="0"/>
        <v>0</v>
      </c>
      <c r="F27" s="41" t="str">
        <f t="shared" si="1"/>
        <v/>
      </c>
      <c r="G27" s="106">
        <f>C27-'4-非流动资产汇总'!C14</f>
        <v>0</v>
      </c>
    </row>
    <row r="28" ht="14.65" customHeight="1" spans="1:7">
      <c r="A28" s="11">
        <v>23</v>
      </c>
      <c r="B28" s="72" t="s">
        <v>68</v>
      </c>
      <c r="C28" s="41">
        <f>'4-非流动资产汇总'!C15</f>
        <v>0</v>
      </c>
      <c r="D28" s="41">
        <f>'4-非流动资产汇总'!D15</f>
        <v>0</v>
      </c>
      <c r="E28" s="41">
        <f t="shared" si="0"/>
        <v>0</v>
      </c>
      <c r="F28" s="41" t="str">
        <f t="shared" si="1"/>
        <v/>
      </c>
      <c r="G28" s="106">
        <f>C28-'4-非流动资产汇总'!C15</f>
        <v>0</v>
      </c>
    </row>
    <row r="29" ht="14.65" customHeight="1" spans="1:7">
      <c r="A29" s="11">
        <v>24</v>
      </c>
      <c r="B29" s="72" t="s">
        <v>69</v>
      </c>
      <c r="C29" s="41">
        <f>'4-非流动资产汇总'!C16</f>
        <v>0</v>
      </c>
      <c r="D29" s="41">
        <f>'4-非流动资产汇总'!D16</f>
        <v>0</v>
      </c>
      <c r="E29" s="41">
        <f t="shared" si="0"/>
        <v>0</v>
      </c>
      <c r="F29" s="41" t="str">
        <f t="shared" si="1"/>
        <v/>
      </c>
      <c r="G29" s="106">
        <f>C29-'4-非流动资产汇总'!C16</f>
        <v>0</v>
      </c>
    </row>
    <row r="30" ht="14.65" customHeight="1" spans="1:7">
      <c r="A30" s="11">
        <v>25</v>
      </c>
      <c r="B30" s="72" t="s">
        <v>70</v>
      </c>
      <c r="C30" s="41">
        <f>'4-非流动资产汇总'!C17</f>
        <v>0</v>
      </c>
      <c r="D30" s="41">
        <f>'4-非流动资产汇总'!D17</f>
        <v>0</v>
      </c>
      <c r="E30" s="41">
        <f t="shared" si="0"/>
        <v>0</v>
      </c>
      <c r="F30" s="41" t="str">
        <f t="shared" si="1"/>
        <v/>
      </c>
      <c r="G30" s="106">
        <f>C30-'4-非流动资产汇总'!C17</f>
        <v>0</v>
      </c>
    </row>
    <row r="31" ht="14.65" customHeight="1" spans="1:7">
      <c r="A31" s="11">
        <v>26</v>
      </c>
      <c r="B31" s="72" t="s">
        <v>71</v>
      </c>
      <c r="C31" s="41">
        <f>'4-非流动资产汇总'!C18</f>
        <v>0</v>
      </c>
      <c r="D31" s="41">
        <f>'4-非流动资产汇总'!D18</f>
        <v>0</v>
      </c>
      <c r="E31" s="41">
        <f t="shared" si="0"/>
        <v>0</v>
      </c>
      <c r="F31" s="41" t="str">
        <f t="shared" si="1"/>
        <v/>
      </c>
      <c r="G31" s="106">
        <f>C31-'4-非流动资产汇总'!C18</f>
        <v>0</v>
      </c>
    </row>
    <row r="32" ht="14.65" customHeight="1" spans="1:7">
      <c r="A32" s="11">
        <v>27</v>
      </c>
      <c r="B32" s="72" t="s">
        <v>72</v>
      </c>
      <c r="C32" s="41">
        <f>'4-非流动资产汇总'!C19</f>
        <v>0</v>
      </c>
      <c r="D32" s="41">
        <f>'4-非流动资产汇总'!D19</f>
        <v>0</v>
      </c>
      <c r="E32" s="41">
        <f t="shared" si="0"/>
        <v>0</v>
      </c>
      <c r="F32" s="41" t="str">
        <f t="shared" si="1"/>
        <v/>
      </c>
      <c r="G32" s="106">
        <f>C32-'4-非流动资产汇总'!C19</f>
        <v>0</v>
      </c>
    </row>
    <row r="33" ht="14.65" customHeight="1" spans="1:7">
      <c r="A33" s="11">
        <v>28</v>
      </c>
      <c r="B33" s="72" t="s">
        <v>73</v>
      </c>
      <c r="C33" s="41">
        <f>'4-非流动资产汇总'!C20</f>
        <v>0</v>
      </c>
      <c r="D33" s="41">
        <f>'4-非流动资产汇总'!D20</f>
        <v>0</v>
      </c>
      <c r="E33" s="41">
        <f t="shared" si="0"/>
        <v>0</v>
      </c>
      <c r="F33" s="41" t="str">
        <f t="shared" si="1"/>
        <v/>
      </c>
      <c r="G33" s="106">
        <f>C33-'4-非流动资产汇总'!C20</f>
        <v>0</v>
      </c>
    </row>
    <row r="34" ht="14.65" customHeight="1" spans="1:7">
      <c r="A34" s="11">
        <v>29</v>
      </c>
      <c r="B34" s="72" t="s">
        <v>74</v>
      </c>
      <c r="C34" s="41">
        <f>'4-非流动资产汇总'!C21</f>
        <v>0</v>
      </c>
      <c r="D34" s="41">
        <f>'4-非流动资产汇总'!D21</f>
        <v>0</v>
      </c>
      <c r="E34" s="41">
        <f t="shared" si="0"/>
        <v>0</v>
      </c>
      <c r="F34" s="41" t="str">
        <f t="shared" si="1"/>
        <v/>
      </c>
      <c r="G34" s="106">
        <f>C34-'4-非流动资产汇总'!C21</f>
        <v>0</v>
      </c>
    </row>
    <row r="35" ht="14.65" customHeight="1" spans="1:7">
      <c r="A35" s="11">
        <v>30</v>
      </c>
      <c r="B35" s="72" t="s">
        <v>75</v>
      </c>
      <c r="C35" s="41">
        <f>'4-非流动资产汇总'!C22</f>
        <v>0</v>
      </c>
      <c r="D35" s="41">
        <f>'4-非流动资产汇总'!D22</f>
        <v>0</v>
      </c>
      <c r="E35" s="41">
        <f t="shared" si="0"/>
        <v>0</v>
      </c>
      <c r="F35" s="41" t="str">
        <f t="shared" si="1"/>
        <v/>
      </c>
      <c r="G35" s="106">
        <f>C35-'4-非流动资产汇总'!C22</f>
        <v>0</v>
      </c>
    </row>
    <row r="36" s="98" customFormat="1" ht="14.65" customHeight="1" spans="1:6">
      <c r="A36" s="11">
        <v>31</v>
      </c>
      <c r="B36" s="104" t="s">
        <v>76</v>
      </c>
      <c r="C36" s="105">
        <f>C6+C18</f>
        <v>0</v>
      </c>
      <c r="D36" s="105">
        <f>D6+D18</f>
        <v>2298370</v>
      </c>
      <c r="E36" s="105">
        <f t="shared" si="0"/>
        <v>2298370</v>
      </c>
      <c r="F36" s="105" t="str">
        <f t="shared" si="1"/>
        <v/>
      </c>
    </row>
    <row r="37" s="98" customFormat="1" ht="14.65" hidden="1" customHeight="1" spans="1:6">
      <c r="A37" s="103">
        <v>32</v>
      </c>
      <c r="B37" s="104" t="s">
        <v>77</v>
      </c>
      <c r="C37" s="105">
        <f>SUM(C38:C49)</f>
        <v>0</v>
      </c>
      <c r="D37" s="105">
        <f>SUM(D38:D49)</f>
        <v>0</v>
      </c>
      <c r="E37" s="105">
        <f t="shared" si="0"/>
        <v>0</v>
      </c>
      <c r="F37" s="105" t="str">
        <f t="shared" si="1"/>
        <v/>
      </c>
    </row>
    <row r="38" ht="14.65" hidden="1" customHeight="1" spans="1:7">
      <c r="A38" s="11">
        <v>33</v>
      </c>
      <c r="B38" s="72" t="s">
        <v>78</v>
      </c>
      <c r="C38" s="41">
        <v>0</v>
      </c>
      <c r="D38" s="41">
        <v>0</v>
      </c>
      <c r="E38" s="41">
        <f t="shared" si="0"/>
        <v>0</v>
      </c>
      <c r="F38" s="41" t="str">
        <f t="shared" si="1"/>
        <v/>
      </c>
      <c r="G38" s="106">
        <v>0</v>
      </c>
    </row>
    <row r="39" ht="14.65" hidden="1" customHeight="1" spans="1:7">
      <c r="A39" s="11">
        <v>34</v>
      </c>
      <c r="B39" s="72" t="s">
        <v>79</v>
      </c>
      <c r="C39" s="41">
        <v>0</v>
      </c>
      <c r="D39" s="41">
        <v>0</v>
      </c>
      <c r="E39" s="41">
        <f t="shared" si="0"/>
        <v>0</v>
      </c>
      <c r="F39" s="41" t="str">
        <f t="shared" si="1"/>
        <v/>
      </c>
      <c r="G39" s="106">
        <v>0</v>
      </c>
    </row>
    <row r="40" ht="14.65" hidden="1" customHeight="1" spans="1:7">
      <c r="A40" s="11">
        <v>35</v>
      </c>
      <c r="B40" s="72" t="s">
        <v>80</v>
      </c>
      <c r="C40" s="41">
        <v>0</v>
      </c>
      <c r="D40" s="41">
        <v>0</v>
      </c>
      <c r="E40" s="41">
        <f t="shared" si="0"/>
        <v>0</v>
      </c>
      <c r="F40" s="41" t="str">
        <f t="shared" si="1"/>
        <v/>
      </c>
      <c r="G40" s="106">
        <v>0</v>
      </c>
    </row>
    <row r="41" ht="14.65" hidden="1" customHeight="1" spans="1:7">
      <c r="A41" s="11">
        <v>36</v>
      </c>
      <c r="B41" s="72" t="s">
        <v>81</v>
      </c>
      <c r="C41" s="41">
        <v>0</v>
      </c>
      <c r="D41" s="41">
        <v>0</v>
      </c>
      <c r="E41" s="41">
        <f t="shared" si="0"/>
        <v>0</v>
      </c>
      <c r="F41" s="41" t="str">
        <f t="shared" si="1"/>
        <v/>
      </c>
      <c r="G41" s="106">
        <v>0</v>
      </c>
    </row>
    <row r="42" ht="14.65" hidden="1" customHeight="1" spans="1:7">
      <c r="A42" s="11">
        <v>37</v>
      </c>
      <c r="B42" s="72" t="s">
        <v>82</v>
      </c>
      <c r="C42" s="41">
        <v>0</v>
      </c>
      <c r="D42" s="41">
        <v>0</v>
      </c>
      <c r="E42" s="41">
        <f t="shared" si="0"/>
        <v>0</v>
      </c>
      <c r="F42" s="41" t="str">
        <f t="shared" si="1"/>
        <v/>
      </c>
      <c r="G42" s="106">
        <v>0</v>
      </c>
    </row>
    <row r="43" ht="14.65" hidden="1" customHeight="1" spans="1:7">
      <c r="A43" s="11">
        <v>38</v>
      </c>
      <c r="B43" s="72" t="s">
        <v>83</v>
      </c>
      <c r="C43" s="41">
        <v>0</v>
      </c>
      <c r="D43" s="41">
        <v>0</v>
      </c>
      <c r="E43" s="41">
        <f t="shared" si="0"/>
        <v>0</v>
      </c>
      <c r="F43" s="41" t="str">
        <f t="shared" si="1"/>
        <v/>
      </c>
      <c r="G43" s="106">
        <v>0</v>
      </c>
    </row>
    <row r="44" ht="14.65" hidden="1" customHeight="1" spans="1:7">
      <c r="A44" s="11">
        <v>39</v>
      </c>
      <c r="B44" s="72" t="s">
        <v>84</v>
      </c>
      <c r="C44" s="41">
        <v>0</v>
      </c>
      <c r="D44" s="41">
        <v>0</v>
      </c>
      <c r="E44" s="41">
        <f t="shared" si="0"/>
        <v>0</v>
      </c>
      <c r="F44" s="41" t="str">
        <f t="shared" si="1"/>
        <v/>
      </c>
      <c r="G44" s="106">
        <v>0</v>
      </c>
    </row>
    <row r="45" ht="14.65" hidden="1" customHeight="1" spans="1:7">
      <c r="A45" s="11">
        <v>40</v>
      </c>
      <c r="B45" s="72" t="s">
        <v>85</v>
      </c>
      <c r="C45" s="41">
        <v>0</v>
      </c>
      <c r="D45" s="41">
        <v>0</v>
      </c>
      <c r="E45" s="41">
        <f t="shared" si="0"/>
        <v>0</v>
      </c>
      <c r="F45" s="41" t="str">
        <f t="shared" si="1"/>
        <v/>
      </c>
      <c r="G45" s="106">
        <v>0</v>
      </c>
    </row>
    <row r="46" ht="14.65" hidden="1" customHeight="1" spans="1:7">
      <c r="A46" s="11">
        <v>41</v>
      </c>
      <c r="B46" s="72" t="s">
        <v>86</v>
      </c>
      <c r="C46" s="41">
        <v>0</v>
      </c>
      <c r="D46" s="41">
        <v>0</v>
      </c>
      <c r="E46" s="41">
        <f t="shared" si="0"/>
        <v>0</v>
      </c>
      <c r="F46" s="41" t="str">
        <f t="shared" si="1"/>
        <v/>
      </c>
      <c r="G46" s="106">
        <v>0</v>
      </c>
    </row>
    <row r="47" ht="14.65" hidden="1" customHeight="1" spans="1:7">
      <c r="A47" s="11">
        <v>42</v>
      </c>
      <c r="B47" s="72" t="s">
        <v>87</v>
      </c>
      <c r="C47" s="41">
        <v>0</v>
      </c>
      <c r="D47" s="41">
        <v>0</v>
      </c>
      <c r="E47" s="41">
        <f t="shared" si="0"/>
        <v>0</v>
      </c>
      <c r="F47" s="41" t="str">
        <f t="shared" si="1"/>
        <v/>
      </c>
      <c r="G47" s="106">
        <v>0</v>
      </c>
    </row>
    <row r="48" ht="14.65" hidden="1" customHeight="1" spans="1:7">
      <c r="A48" s="11">
        <v>43</v>
      </c>
      <c r="B48" s="72" t="s">
        <v>88</v>
      </c>
      <c r="C48" s="41">
        <v>0</v>
      </c>
      <c r="D48" s="41">
        <v>0</v>
      </c>
      <c r="E48" s="41">
        <f t="shared" si="0"/>
        <v>0</v>
      </c>
      <c r="F48" s="41" t="str">
        <f t="shared" si="1"/>
        <v/>
      </c>
      <c r="G48" s="106">
        <v>0</v>
      </c>
    </row>
    <row r="49" ht="14.65" hidden="1" customHeight="1" spans="1:7">
      <c r="A49" s="11">
        <v>44</v>
      </c>
      <c r="B49" s="72" t="s">
        <v>89</v>
      </c>
      <c r="C49" s="41">
        <v>0</v>
      </c>
      <c r="D49" s="41">
        <v>0</v>
      </c>
      <c r="E49" s="41">
        <f t="shared" si="0"/>
        <v>0</v>
      </c>
      <c r="F49" s="41" t="str">
        <f t="shared" si="1"/>
        <v/>
      </c>
      <c r="G49" s="106">
        <v>0</v>
      </c>
    </row>
    <row r="50" s="98" customFormat="1" ht="14.65" hidden="1" customHeight="1" spans="1:6">
      <c r="A50" s="103">
        <v>45</v>
      </c>
      <c r="B50" s="104" t="s">
        <v>90</v>
      </c>
      <c r="C50" s="105">
        <f>SUM(C51:C57)</f>
        <v>0</v>
      </c>
      <c r="D50" s="105">
        <f>SUM(D51:D57)</f>
        <v>0</v>
      </c>
      <c r="E50" s="105">
        <f t="shared" si="0"/>
        <v>0</v>
      </c>
      <c r="F50" s="105" t="str">
        <f t="shared" si="1"/>
        <v/>
      </c>
    </row>
    <row r="51" ht="14.65" hidden="1" customHeight="1" spans="1:7">
      <c r="A51" s="11">
        <v>46</v>
      </c>
      <c r="B51" s="72" t="s">
        <v>91</v>
      </c>
      <c r="C51" s="41">
        <v>0</v>
      </c>
      <c r="D51" s="41">
        <v>0</v>
      </c>
      <c r="E51" s="41">
        <f t="shared" si="0"/>
        <v>0</v>
      </c>
      <c r="F51" s="41" t="str">
        <f t="shared" si="1"/>
        <v/>
      </c>
      <c r="G51" s="106">
        <v>0</v>
      </c>
    </row>
    <row r="52" ht="14.65" hidden="1" customHeight="1" spans="1:7">
      <c r="A52" s="11">
        <v>47</v>
      </c>
      <c r="B52" s="72" t="s">
        <v>92</v>
      </c>
      <c r="C52" s="41">
        <v>0</v>
      </c>
      <c r="D52" s="41">
        <v>0</v>
      </c>
      <c r="E52" s="41">
        <f t="shared" si="0"/>
        <v>0</v>
      </c>
      <c r="F52" s="41" t="str">
        <f t="shared" si="1"/>
        <v/>
      </c>
      <c r="G52" s="106">
        <v>0</v>
      </c>
    </row>
    <row r="53" ht="14.65" hidden="1" customHeight="1" spans="1:7">
      <c r="A53" s="11">
        <v>48</v>
      </c>
      <c r="B53" s="72" t="s">
        <v>93</v>
      </c>
      <c r="C53" s="41">
        <v>0</v>
      </c>
      <c r="D53" s="41">
        <v>0</v>
      </c>
      <c r="E53" s="41">
        <f t="shared" si="0"/>
        <v>0</v>
      </c>
      <c r="F53" s="41" t="str">
        <f t="shared" si="1"/>
        <v/>
      </c>
      <c r="G53" s="106">
        <v>0</v>
      </c>
    </row>
    <row r="54" ht="14.65" hidden="1" customHeight="1" spans="1:7">
      <c r="A54" s="11">
        <v>49</v>
      </c>
      <c r="B54" s="72" t="s">
        <v>94</v>
      </c>
      <c r="C54" s="41">
        <v>0</v>
      </c>
      <c r="D54" s="41">
        <v>0</v>
      </c>
      <c r="E54" s="41">
        <f t="shared" si="0"/>
        <v>0</v>
      </c>
      <c r="F54" s="41" t="str">
        <f t="shared" si="1"/>
        <v/>
      </c>
      <c r="G54" s="106">
        <v>0</v>
      </c>
    </row>
    <row r="55" ht="14.65" hidden="1" customHeight="1" spans="1:7">
      <c r="A55" s="11">
        <v>50</v>
      </c>
      <c r="B55" s="72" t="s">
        <v>95</v>
      </c>
      <c r="C55" s="41">
        <v>0</v>
      </c>
      <c r="D55" s="41">
        <v>0</v>
      </c>
      <c r="E55" s="41">
        <f t="shared" si="0"/>
        <v>0</v>
      </c>
      <c r="F55" s="41" t="str">
        <f t="shared" si="1"/>
        <v/>
      </c>
      <c r="G55" s="106">
        <v>0</v>
      </c>
    </row>
    <row r="56" ht="14.65" hidden="1" customHeight="1" spans="1:7">
      <c r="A56" s="11">
        <v>51</v>
      </c>
      <c r="B56" s="72" t="s">
        <v>96</v>
      </c>
      <c r="C56" s="41">
        <v>0</v>
      </c>
      <c r="D56" s="41">
        <v>0</v>
      </c>
      <c r="E56" s="41">
        <f t="shared" si="0"/>
        <v>0</v>
      </c>
      <c r="F56" s="41" t="str">
        <f t="shared" si="1"/>
        <v/>
      </c>
      <c r="G56" s="106">
        <v>0</v>
      </c>
    </row>
    <row r="57" ht="14.65" hidden="1" customHeight="1" spans="1:7">
      <c r="A57" s="11">
        <v>52</v>
      </c>
      <c r="B57" s="72" t="s">
        <v>97</v>
      </c>
      <c r="C57" s="41">
        <v>0</v>
      </c>
      <c r="D57" s="41">
        <v>0</v>
      </c>
      <c r="E57" s="41">
        <f t="shared" si="0"/>
        <v>0</v>
      </c>
      <c r="F57" s="41" t="str">
        <f t="shared" si="1"/>
        <v/>
      </c>
      <c r="G57" s="106">
        <v>0</v>
      </c>
    </row>
    <row r="58" s="98" customFormat="1" ht="14.65" hidden="1" customHeight="1" spans="1:6">
      <c r="A58" s="103">
        <v>53</v>
      </c>
      <c r="B58" s="104" t="s">
        <v>98</v>
      </c>
      <c r="C58" s="105">
        <f>C37+C50</f>
        <v>0</v>
      </c>
      <c r="D58" s="105">
        <f>D37+D50</f>
        <v>0</v>
      </c>
      <c r="E58" s="105">
        <f t="shared" si="0"/>
        <v>0</v>
      </c>
      <c r="F58" s="105" t="str">
        <f t="shared" si="1"/>
        <v/>
      </c>
    </row>
    <row r="59" s="98" customFormat="1" ht="14.65" hidden="1" customHeight="1" spans="1:6">
      <c r="A59" s="103">
        <v>54</v>
      </c>
      <c r="B59" s="104" t="s">
        <v>99</v>
      </c>
      <c r="C59" s="105">
        <f>C36-C58</f>
        <v>0</v>
      </c>
      <c r="D59" s="105">
        <f>D36-D58</f>
        <v>2298370</v>
      </c>
      <c r="E59" s="105">
        <f t="shared" si="0"/>
        <v>2298370</v>
      </c>
      <c r="F59" s="105" t="str">
        <f t="shared" si="1"/>
        <v/>
      </c>
    </row>
    <row r="60" s="99" customFormat="1" ht="15" customHeight="1" spans="4:6">
      <c r="D60" s="107"/>
      <c r="E60" s="107"/>
      <c r="F60" s="107"/>
    </row>
  </sheetData>
  <sheetProtection formatColumns="0"/>
  <mergeCells count="3">
    <mergeCell ref="A1:F1"/>
    <mergeCell ref="A2:F2"/>
    <mergeCell ref="D60:F60"/>
  </mergeCells>
  <printOptions horizontalCentered="1"/>
  <pageMargins left="0.747916666666667" right="0.747916666666667" top="0.865277777777778" bottom="0.865277777777778" header="1.0625" footer="0.275"/>
  <pageSetup paperSize="9" scale="92" fitToHeight="0" orientation="landscape"/>
  <headerFooter scaleWithDoc="0">
    <oddFooter>&amp;C      &amp;R&amp;"宋体,常规"&amp;11评估机构：天源资产评估有限公司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8"/>
  <sheetViews>
    <sheetView showZeros="0" view="pageBreakPreview" zoomScaleNormal="100" zoomScaleSheetLayoutView="100" workbookViewId="0">
      <selection activeCell="A5" sqref="A5"/>
    </sheetView>
  </sheetViews>
  <sheetFormatPr defaultColWidth="9" defaultRowHeight="15.75" customHeight="1" outlineLevelCol="5"/>
  <cols>
    <col min="1" max="1" width="6.875" style="4" customWidth="1"/>
    <col min="2" max="2" width="26.875" style="4" customWidth="1"/>
    <col min="3" max="3" width="22.75" style="4" customWidth="1"/>
    <col min="4" max="4" width="23.625" style="4" customWidth="1"/>
    <col min="5" max="5" width="19.125" style="4" customWidth="1"/>
    <col min="6" max="6" width="12.625" style="4" customWidth="1"/>
    <col min="7" max="16384" width="9" style="4"/>
  </cols>
  <sheetData>
    <row r="1" s="1" customFormat="1" ht="30" customHeight="1" spans="1:6">
      <c r="A1" s="6" t="s">
        <v>100</v>
      </c>
      <c r="B1" s="6"/>
      <c r="C1" s="6"/>
      <c r="D1" s="6"/>
      <c r="E1" s="6"/>
      <c r="F1" s="6"/>
    </row>
    <row r="2" ht="16.5" customHeight="1" spans="1:6">
      <c r="A2" s="68" t="s">
        <v>1</v>
      </c>
      <c r="B2" s="7"/>
      <c r="C2" s="7"/>
      <c r="D2" s="7"/>
      <c r="E2" s="7"/>
      <c r="F2" s="7"/>
    </row>
    <row r="3" ht="16.5" customHeight="1" spans="1:6">
      <c r="A3" s="8"/>
      <c r="B3" s="9"/>
      <c r="C3" s="9"/>
      <c r="D3" s="9"/>
      <c r="E3" s="9"/>
      <c r="F3" s="69" t="s">
        <v>101</v>
      </c>
    </row>
    <row r="4" ht="16.5" customHeight="1" spans="1:6">
      <c r="A4" s="92" t="s">
        <v>3</v>
      </c>
      <c r="B4" s="93"/>
      <c r="C4" s="2"/>
      <c r="D4" s="2"/>
      <c r="E4" s="2"/>
      <c r="F4" s="70" t="s">
        <v>42</v>
      </c>
    </row>
    <row r="5" s="67" customFormat="1" ht="22.5" customHeight="1" spans="1:6">
      <c r="A5" s="71" t="s">
        <v>102</v>
      </c>
      <c r="B5" s="71" t="s">
        <v>103</v>
      </c>
      <c r="C5" s="71" t="s">
        <v>6</v>
      </c>
      <c r="D5" s="71" t="s">
        <v>7</v>
      </c>
      <c r="E5" s="31" t="s">
        <v>8</v>
      </c>
      <c r="F5" s="71" t="s">
        <v>45</v>
      </c>
    </row>
    <row r="6" ht="17.25" customHeight="1" spans="1:6">
      <c r="A6" s="71" t="s">
        <v>104</v>
      </c>
      <c r="B6" s="94" t="s">
        <v>105</v>
      </c>
      <c r="C6" s="41">
        <v>0</v>
      </c>
      <c r="D6" s="41">
        <v>0</v>
      </c>
      <c r="E6" s="41">
        <f t="shared" ref="E6:E19" si="0">D6-C6</f>
        <v>0</v>
      </c>
      <c r="F6" s="41" t="str">
        <f t="shared" ref="F6:F19" si="1">IF(C6=0,"",E6/C6*100)</f>
        <v/>
      </c>
    </row>
    <row r="7" ht="17.25" customHeight="1" spans="1:6">
      <c r="A7" s="71" t="s">
        <v>106</v>
      </c>
      <c r="B7" s="95" t="s">
        <v>107</v>
      </c>
      <c r="C7" s="41">
        <f>'3-9-2原材料'!G26</f>
        <v>0</v>
      </c>
      <c r="D7" s="41">
        <f>'3-9-2原材料'!J26</f>
        <v>4000</v>
      </c>
      <c r="E7" s="41">
        <f t="shared" si="0"/>
        <v>4000</v>
      </c>
      <c r="F7" s="41" t="str">
        <f t="shared" si="1"/>
        <v/>
      </c>
    </row>
    <row r="8" ht="17.25" customHeight="1" spans="1:6">
      <c r="A8" s="71" t="s">
        <v>108</v>
      </c>
      <c r="B8" s="95" t="s">
        <v>109</v>
      </c>
      <c r="C8" s="41">
        <v>0</v>
      </c>
      <c r="D8" s="41">
        <v>0</v>
      </c>
      <c r="E8" s="41">
        <f t="shared" si="0"/>
        <v>0</v>
      </c>
      <c r="F8" s="41" t="str">
        <f t="shared" si="1"/>
        <v/>
      </c>
    </row>
    <row r="9" ht="17.25" customHeight="1" spans="1:6">
      <c r="A9" s="71" t="s">
        <v>110</v>
      </c>
      <c r="B9" s="95" t="s">
        <v>111</v>
      </c>
      <c r="C9" s="41">
        <v>0</v>
      </c>
      <c r="D9" s="41">
        <v>0</v>
      </c>
      <c r="E9" s="41">
        <f t="shared" si="0"/>
        <v>0</v>
      </c>
      <c r="F9" s="41" t="str">
        <f t="shared" si="1"/>
        <v/>
      </c>
    </row>
    <row r="10" ht="17.25" customHeight="1" spans="1:6">
      <c r="A10" s="71" t="s">
        <v>112</v>
      </c>
      <c r="B10" s="95" t="s">
        <v>113</v>
      </c>
      <c r="C10" s="41">
        <v>0</v>
      </c>
      <c r="D10" s="41">
        <v>0</v>
      </c>
      <c r="E10" s="41">
        <f t="shared" si="0"/>
        <v>0</v>
      </c>
      <c r="F10" s="41" t="str">
        <f t="shared" si="1"/>
        <v/>
      </c>
    </row>
    <row r="11" ht="17.25" customHeight="1" spans="1:6">
      <c r="A11" s="71" t="s">
        <v>114</v>
      </c>
      <c r="B11" s="95" t="s">
        <v>115</v>
      </c>
      <c r="C11" s="41">
        <v>0</v>
      </c>
      <c r="D11" s="41">
        <v>0</v>
      </c>
      <c r="E11" s="41">
        <f t="shared" si="0"/>
        <v>0</v>
      </c>
      <c r="F11" s="41" t="str">
        <f t="shared" si="1"/>
        <v/>
      </c>
    </row>
    <row r="12" ht="17.25" customHeight="1" spans="1:6">
      <c r="A12" s="71" t="s">
        <v>116</v>
      </c>
      <c r="B12" s="95" t="s">
        <v>117</v>
      </c>
      <c r="C12" s="41">
        <v>0</v>
      </c>
      <c r="D12" s="41">
        <v>0</v>
      </c>
      <c r="E12" s="41">
        <f t="shared" si="0"/>
        <v>0</v>
      </c>
      <c r="F12" s="41" t="str">
        <f t="shared" si="1"/>
        <v/>
      </c>
    </row>
    <row r="13" ht="17.25" customHeight="1" spans="1:6">
      <c r="A13" s="71" t="s">
        <v>118</v>
      </c>
      <c r="B13" s="95" t="s">
        <v>119</v>
      </c>
      <c r="C13" s="41">
        <v>0</v>
      </c>
      <c r="D13" s="41">
        <v>0</v>
      </c>
      <c r="E13" s="41">
        <f t="shared" si="0"/>
        <v>0</v>
      </c>
      <c r="F13" s="41" t="str">
        <f t="shared" si="1"/>
        <v/>
      </c>
    </row>
    <row r="14" s="91" customFormat="1" ht="17.25" customHeight="1" spans="1:6">
      <c r="A14" s="96"/>
      <c r="B14" s="94"/>
      <c r="C14" s="41"/>
      <c r="D14" s="41"/>
      <c r="E14" s="41">
        <f t="shared" si="0"/>
        <v>0</v>
      </c>
      <c r="F14" s="41" t="str">
        <f t="shared" si="1"/>
        <v/>
      </c>
    </row>
    <row r="15" ht="17.25" customHeight="1" spans="1:6">
      <c r="A15" s="71"/>
      <c r="B15" s="75"/>
      <c r="C15" s="41"/>
      <c r="D15" s="41"/>
      <c r="E15" s="41">
        <f t="shared" si="0"/>
        <v>0</v>
      </c>
      <c r="F15" s="41" t="str">
        <f t="shared" si="1"/>
        <v/>
      </c>
    </row>
    <row r="16" ht="17.25" customHeight="1" spans="1:6">
      <c r="A16" s="71"/>
      <c r="B16" s="75"/>
      <c r="C16" s="41"/>
      <c r="D16" s="41"/>
      <c r="E16" s="41">
        <f t="shared" si="0"/>
        <v>0</v>
      </c>
      <c r="F16" s="41" t="str">
        <f t="shared" si="1"/>
        <v/>
      </c>
    </row>
    <row r="17" ht="17.25" customHeight="1" spans="1:6">
      <c r="A17" s="11"/>
      <c r="B17" s="75"/>
      <c r="C17" s="41"/>
      <c r="D17" s="41"/>
      <c r="E17" s="41">
        <f t="shared" si="0"/>
        <v>0</v>
      </c>
      <c r="F17" s="41" t="str">
        <f t="shared" si="1"/>
        <v/>
      </c>
    </row>
    <row r="18" ht="17.25" customHeight="1" spans="1:6">
      <c r="A18" s="11"/>
      <c r="B18" s="75"/>
      <c r="C18" s="41"/>
      <c r="D18" s="41"/>
      <c r="E18" s="41">
        <f t="shared" si="0"/>
        <v>0</v>
      </c>
      <c r="F18" s="41" t="str">
        <f t="shared" si="1"/>
        <v/>
      </c>
    </row>
    <row r="19" ht="17.25" customHeight="1" spans="1:6">
      <c r="A19" s="11"/>
      <c r="B19" s="75"/>
      <c r="C19" s="41"/>
      <c r="D19" s="41"/>
      <c r="E19" s="41">
        <f t="shared" si="0"/>
        <v>0</v>
      </c>
      <c r="F19" s="41" t="str">
        <f t="shared" si="1"/>
        <v/>
      </c>
    </row>
    <row r="20" ht="17.25" customHeight="1" spans="1:6">
      <c r="A20" s="11"/>
      <c r="B20" s="75"/>
      <c r="C20" s="41"/>
      <c r="D20" s="41"/>
      <c r="E20" s="41"/>
      <c r="F20" s="41"/>
    </row>
    <row r="21" ht="17.25" customHeight="1" spans="1:6">
      <c r="A21" s="11"/>
      <c r="B21" s="75"/>
      <c r="C21" s="41"/>
      <c r="D21" s="41"/>
      <c r="E21" s="41">
        <f t="shared" ref="E21:E26" si="2">D21-C21</f>
        <v>0</v>
      </c>
      <c r="F21" s="41" t="str">
        <f t="shared" ref="F21:F26" si="3">IF(C21=0,"",E21/C21*100)</f>
        <v/>
      </c>
    </row>
    <row r="22" ht="17.25" customHeight="1" spans="1:6">
      <c r="A22" s="11"/>
      <c r="B22" s="75"/>
      <c r="C22" s="41"/>
      <c r="D22" s="41"/>
      <c r="E22" s="41">
        <f t="shared" si="2"/>
        <v>0</v>
      </c>
      <c r="F22" s="41" t="str">
        <f t="shared" si="3"/>
        <v/>
      </c>
    </row>
    <row r="23" ht="17.25" customHeight="1" spans="1:6">
      <c r="A23" s="11"/>
      <c r="B23" s="75"/>
      <c r="C23" s="41"/>
      <c r="D23" s="41"/>
      <c r="E23" s="41">
        <f t="shared" si="2"/>
        <v>0</v>
      </c>
      <c r="F23" s="41" t="str">
        <f t="shared" si="3"/>
        <v/>
      </c>
    </row>
    <row r="24" ht="17.25" customHeight="1" spans="1:6">
      <c r="A24" s="28" t="s">
        <v>120</v>
      </c>
      <c r="B24" s="30"/>
      <c r="C24" s="41">
        <f>SUM(C6:C23)</f>
        <v>0</v>
      </c>
      <c r="D24" s="41">
        <f>SUM(D6:D23)</f>
        <v>4000</v>
      </c>
      <c r="E24" s="41">
        <f t="shared" si="2"/>
        <v>4000</v>
      </c>
      <c r="F24" s="41" t="str">
        <f t="shared" si="3"/>
        <v/>
      </c>
    </row>
    <row r="25" ht="17.25" customHeight="1" spans="1:6">
      <c r="A25" s="28" t="s">
        <v>121</v>
      </c>
      <c r="B25" s="30"/>
      <c r="C25" s="41"/>
      <c r="D25" s="41"/>
      <c r="E25" s="41">
        <f t="shared" si="2"/>
        <v>0</v>
      </c>
      <c r="F25" s="41" t="str">
        <f t="shared" si="3"/>
        <v/>
      </c>
    </row>
    <row r="26" ht="17.25" customHeight="1" spans="1:6">
      <c r="A26" s="28" t="s">
        <v>120</v>
      </c>
      <c r="B26" s="30"/>
      <c r="C26" s="41">
        <f>C24-C25</f>
        <v>0</v>
      </c>
      <c r="D26" s="41">
        <f>D24-D25</f>
        <v>4000</v>
      </c>
      <c r="E26" s="41">
        <f t="shared" si="2"/>
        <v>4000</v>
      </c>
      <c r="F26" s="41" t="str">
        <f t="shared" si="3"/>
        <v/>
      </c>
    </row>
    <row r="27" hidden="1" customHeight="1" spans="1:6">
      <c r="A27" s="77"/>
      <c r="D27" s="97"/>
      <c r="E27" s="97"/>
      <c r="F27" s="97"/>
    </row>
    <row r="28" customHeight="1" spans="1:6">
      <c r="A28" s="77"/>
      <c r="E28" s="65" t="s">
        <v>122</v>
      </c>
      <c r="F28" s="65"/>
    </row>
  </sheetData>
  <mergeCells count="4">
    <mergeCell ref="A4:B4"/>
    <mergeCell ref="A24:B24"/>
    <mergeCell ref="A25:B25"/>
    <mergeCell ref="A26:B26"/>
  </mergeCells>
  <printOptions horizontalCentered="1"/>
  <pageMargins left="0.747916666666667" right="0.747916666666667" top="0.865277777777778" bottom="0.786805555555556" header="1.0625" footer="0.511805555555556"/>
  <pageSetup paperSize="9" fitToHeight="0" orientation="landscape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Zeros="0" tabSelected="1" view="pageBreakPreview" zoomScaleNormal="100" zoomScaleSheetLayoutView="100" workbookViewId="0">
      <selection activeCell="A4" sqref="A4"/>
    </sheetView>
  </sheetViews>
  <sheetFormatPr defaultColWidth="9" defaultRowHeight="15.75" customHeight="1"/>
  <cols>
    <col min="1" max="1" width="4.75" style="79" customWidth="1"/>
    <col min="2" max="2" width="36.875" style="4" customWidth="1"/>
    <col min="3" max="3" width="8.75" style="4" customWidth="1"/>
    <col min="4" max="4" width="5.25" style="4" hidden="1" customWidth="1"/>
    <col min="5" max="5" width="10.875" style="80" hidden="1" customWidth="1"/>
    <col min="6" max="6" width="8.375" style="80" hidden="1" customWidth="1"/>
    <col min="7" max="7" width="13.125" style="80" hidden="1" customWidth="1"/>
    <col min="8" max="8" width="9.625" style="4" customWidth="1"/>
    <col min="9" max="9" width="15.5" style="4" customWidth="1"/>
    <col min="10" max="10" width="18.625" style="4" customWidth="1"/>
    <col min="11" max="11" width="8.25" style="4" hidden="1" customWidth="1"/>
    <col min="12" max="12" width="7.75" style="4" hidden="1" customWidth="1"/>
    <col min="13" max="13" width="22.25" style="4" customWidth="1"/>
    <col min="14" max="16384" width="9" style="4"/>
  </cols>
  <sheetData>
    <row r="1" s="1" customFormat="1" ht="30" customHeight="1" spans="1:13">
      <c r="A1" s="5" t="s">
        <v>123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2" customFormat="1" ht="16.5" customHeight="1" spans="1:13">
      <c r="A2" s="7" t="str">
        <f>'3-9存货汇总'!A2</f>
        <v>评估基准日：2018年10月23日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2" customFormat="1" ht="16.5" customHeight="1" spans="1:1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9" t="s">
        <v>124</v>
      </c>
    </row>
    <row r="4" s="2" customFormat="1" ht="16.5" customHeight="1" spans="1:13">
      <c r="A4" s="10" t="str">
        <f>'3-9存货汇总'!A4</f>
        <v>被执行人：俞海敏</v>
      </c>
      <c r="E4" s="81"/>
      <c r="F4" s="81"/>
      <c r="G4" s="81"/>
      <c r="M4" s="43" t="s">
        <v>42</v>
      </c>
    </row>
    <row r="5" s="2" customFormat="1" ht="16.5" hidden="1" customHeight="1" spans="1:13">
      <c r="A5" s="10"/>
      <c r="E5" s="81"/>
      <c r="F5" s="81"/>
      <c r="G5" s="81"/>
      <c r="H5" s="2">
        <v>1</v>
      </c>
      <c r="I5" s="2">
        <v>1</v>
      </c>
      <c r="J5" s="2">
        <v>1</v>
      </c>
      <c r="K5" s="2">
        <v>1</v>
      </c>
      <c r="L5" s="2">
        <v>1</v>
      </c>
      <c r="M5" s="43"/>
    </row>
    <row r="6" s="3" customFormat="1" ht="16.5" customHeight="1" spans="1:13">
      <c r="A6" s="11" t="s">
        <v>43</v>
      </c>
      <c r="B6" s="11" t="s">
        <v>125</v>
      </c>
      <c r="C6" s="44" t="s">
        <v>126</v>
      </c>
      <c r="D6" s="44" t="s">
        <v>127</v>
      </c>
      <c r="E6" s="11" t="s">
        <v>6</v>
      </c>
      <c r="F6" s="11"/>
      <c r="G6" s="11"/>
      <c r="H6" s="11" t="s">
        <v>128</v>
      </c>
      <c r="I6" s="38" t="s">
        <v>129</v>
      </c>
      <c r="J6" s="38"/>
      <c r="K6" s="90" t="s">
        <v>8</v>
      </c>
      <c r="L6" s="11" t="s">
        <v>45</v>
      </c>
      <c r="M6" s="11" t="s">
        <v>130</v>
      </c>
    </row>
    <row r="7" s="3" customFormat="1" ht="16.5" customHeight="1" spans="1:13">
      <c r="A7" s="11"/>
      <c r="B7" s="11"/>
      <c r="C7" s="45"/>
      <c r="D7" s="45"/>
      <c r="E7" s="11" t="s">
        <v>131</v>
      </c>
      <c r="F7" s="11" t="s">
        <v>132</v>
      </c>
      <c r="G7" s="11" t="s">
        <v>133</v>
      </c>
      <c r="H7" s="11"/>
      <c r="I7" s="11" t="s">
        <v>134</v>
      </c>
      <c r="J7" s="11" t="s">
        <v>133</v>
      </c>
      <c r="K7" s="40"/>
      <c r="L7" s="11"/>
      <c r="M7" s="11"/>
    </row>
    <row r="8" s="78" customFormat="1" ht="16.5" customHeight="1" spans="1:13">
      <c r="A8" s="82" t="s">
        <v>135</v>
      </c>
      <c r="B8" s="83" t="s">
        <v>136</v>
      </c>
      <c r="C8" s="84" t="s">
        <v>137</v>
      </c>
      <c r="D8" s="85"/>
      <c r="E8" s="41"/>
      <c r="F8" s="41"/>
      <c r="G8" s="41"/>
      <c r="H8" s="86">
        <v>176</v>
      </c>
      <c r="I8" s="41">
        <v>8.38</v>
      </c>
      <c r="J8" s="41">
        <f t="shared" ref="J8:J13" si="0">ROUND(H8*I8,-1)</f>
        <v>1470</v>
      </c>
      <c r="K8" s="41">
        <f t="shared" ref="K8:K28" si="1">J8-G8</f>
        <v>1470</v>
      </c>
      <c r="L8" s="41" t="str">
        <f t="shared" ref="L8:L28" si="2">IF(G8=0,"",K8/G8*100)</f>
        <v/>
      </c>
      <c r="M8" s="34"/>
    </row>
    <row r="9" s="2" customFormat="1" ht="16.5" customHeight="1" spans="1:13">
      <c r="A9" s="82" t="s">
        <v>138</v>
      </c>
      <c r="B9" s="83" t="s">
        <v>139</v>
      </c>
      <c r="C9" s="84" t="s">
        <v>137</v>
      </c>
      <c r="D9" s="34"/>
      <c r="E9" s="41"/>
      <c r="F9" s="41"/>
      <c r="G9" s="41"/>
      <c r="H9" s="86">
        <v>196</v>
      </c>
      <c r="I9" s="41">
        <v>5.56</v>
      </c>
      <c r="J9" s="41">
        <f t="shared" si="0"/>
        <v>1090</v>
      </c>
      <c r="K9" s="41">
        <f t="shared" si="1"/>
        <v>1090</v>
      </c>
      <c r="L9" s="41" t="str">
        <f t="shared" si="2"/>
        <v/>
      </c>
      <c r="M9" s="34"/>
    </row>
    <row r="10" s="2" customFormat="1" ht="16.5" customHeight="1" spans="1:13">
      <c r="A10" s="87">
        <v>3</v>
      </c>
      <c r="B10" s="88" t="s">
        <v>140</v>
      </c>
      <c r="C10" s="84" t="s">
        <v>137</v>
      </c>
      <c r="D10" s="34"/>
      <c r="E10" s="41"/>
      <c r="F10" s="41"/>
      <c r="G10" s="41"/>
      <c r="H10" s="86">
        <v>180</v>
      </c>
      <c r="I10" s="41">
        <v>4.94</v>
      </c>
      <c r="J10" s="41">
        <f t="shared" si="0"/>
        <v>890</v>
      </c>
      <c r="K10" s="41">
        <f t="shared" si="1"/>
        <v>890</v>
      </c>
      <c r="L10" s="41" t="str">
        <f t="shared" si="2"/>
        <v/>
      </c>
      <c r="M10" s="34"/>
    </row>
    <row r="11" s="2" customFormat="1" ht="16.5" customHeight="1" spans="1:13">
      <c r="A11" s="82" t="s">
        <v>141</v>
      </c>
      <c r="B11" s="88" t="s">
        <v>142</v>
      </c>
      <c r="C11" s="84" t="s">
        <v>137</v>
      </c>
      <c r="D11" s="34"/>
      <c r="E11" s="41"/>
      <c r="F11" s="41"/>
      <c r="G11" s="41"/>
      <c r="H11" s="86">
        <v>91</v>
      </c>
      <c r="I11" s="41">
        <v>4.96</v>
      </c>
      <c r="J11" s="41">
        <f t="shared" si="0"/>
        <v>450</v>
      </c>
      <c r="K11" s="41">
        <f t="shared" si="1"/>
        <v>450</v>
      </c>
      <c r="L11" s="41" t="str">
        <f t="shared" si="2"/>
        <v/>
      </c>
      <c r="M11" s="34"/>
    </row>
    <row r="12" s="2" customFormat="1" ht="16.5" customHeight="1" spans="1:13">
      <c r="A12" s="82" t="s">
        <v>143</v>
      </c>
      <c r="B12" s="88" t="s">
        <v>144</v>
      </c>
      <c r="C12" s="84" t="s">
        <v>145</v>
      </c>
      <c r="D12" s="34"/>
      <c r="E12" s="41"/>
      <c r="F12" s="41"/>
      <c r="G12" s="41"/>
      <c r="H12" s="86">
        <v>2</v>
      </c>
      <c r="I12" s="41">
        <v>6.54</v>
      </c>
      <c r="J12" s="41">
        <f t="shared" si="0"/>
        <v>10</v>
      </c>
      <c r="K12" s="41">
        <f t="shared" si="1"/>
        <v>10</v>
      </c>
      <c r="L12" s="41" t="str">
        <f t="shared" si="2"/>
        <v/>
      </c>
      <c r="M12" s="34"/>
    </row>
    <row r="13" s="2" customFormat="1" ht="16.5" customHeight="1" spans="1:13">
      <c r="A13" s="87">
        <v>6</v>
      </c>
      <c r="B13" s="88" t="s">
        <v>146</v>
      </c>
      <c r="C13" s="84" t="s">
        <v>145</v>
      </c>
      <c r="D13" s="34"/>
      <c r="E13" s="41"/>
      <c r="F13" s="41"/>
      <c r="G13" s="41"/>
      <c r="H13" s="86">
        <v>37</v>
      </c>
      <c r="I13" s="41">
        <v>2.51</v>
      </c>
      <c r="J13" s="41">
        <f t="shared" si="0"/>
        <v>90</v>
      </c>
      <c r="K13" s="41">
        <f t="shared" si="1"/>
        <v>90</v>
      </c>
      <c r="L13" s="41" t="str">
        <f t="shared" si="2"/>
        <v/>
      </c>
      <c r="M13" s="34"/>
    </row>
    <row r="14" s="2" customFormat="1" ht="16.5" customHeight="1" spans="1:13">
      <c r="A14" s="11"/>
      <c r="B14" s="25"/>
      <c r="C14" s="34"/>
      <c r="D14" s="34"/>
      <c r="E14" s="41"/>
      <c r="F14" s="41"/>
      <c r="G14" s="41"/>
      <c r="H14" s="41"/>
      <c r="I14" s="41"/>
      <c r="J14" s="41"/>
      <c r="K14" s="41">
        <f t="shared" si="1"/>
        <v>0</v>
      </c>
      <c r="L14" s="41" t="str">
        <f t="shared" si="2"/>
        <v/>
      </c>
      <c r="M14" s="34"/>
    </row>
    <row r="15" s="2" customFormat="1" ht="16.5" customHeight="1" spans="1:13">
      <c r="A15" s="11"/>
      <c r="B15" s="25"/>
      <c r="C15" s="34"/>
      <c r="D15" s="34"/>
      <c r="E15" s="41"/>
      <c r="F15" s="41"/>
      <c r="G15" s="41"/>
      <c r="H15" s="41"/>
      <c r="I15" s="41"/>
      <c r="J15" s="41"/>
      <c r="K15" s="41">
        <f t="shared" si="1"/>
        <v>0</v>
      </c>
      <c r="L15" s="41" t="str">
        <f t="shared" si="2"/>
        <v/>
      </c>
      <c r="M15" s="34"/>
    </row>
    <row r="16" s="2" customFormat="1" ht="16.5" customHeight="1" spans="1:13">
      <c r="A16" s="11"/>
      <c r="B16" s="25"/>
      <c r="C16" s="34"/>
      <c r="D16" s="34"/>
      <c r="E16" s="41"/>
      <c r="F16" s="41"/>
      <c r="G16" s="41"/>
      <c r="H16" s="41"/>
      <c r="I16" s="41"/>
      <c r="J16" s="41"/>
      <c r="K16" s="41">
        <f t="shared" si="1"/>
        <v>0</v>
      </c>
      <c r="L16" s="41" t="str">
        <f t="shared" si="2"/>
        <v/>
      </c>
      <c r="M16" s="34"/>
    </row>
    <row r="17" s="2" customFormat="1" ht="16.5" customHeight="1" spans="1:13">
      <c r="A17" s="11"/>
      <c r="B17" s="25"/>
      <c r="C17" s="34"/>
      <c r="D17" s="34"/>
      <c r="E17" s="41"/>
      <c r="F17" s="41"/>
      <c r="G17" s="41"/>
      <c r="H17" s="41"/>
      <c r="I17" s="41"/>
      <c r="J17" s="41"/>
      <c r="K17" s="41">
        <f t="shared" si="1"/>
        <v>0</v>
      </c>
      <c r="L17" s="41" t="str">
        <f t="shared" si="2"/>
        <v/>
      </c>
      <c r="M17" s="34"/>
    </row>
    <row r="18" s="2" customFormat="1" ht="16.5" customHeight="1" spans="1:13">
      <c r="A18" s="11"/>
      <c r="B18" s="25"/>
      <c r="C18" s="34"/>
      <c r="D18" s="34"/>
      <c r="E18" s="41"/>
      <c r="F18" s="41"/>
      <c r="G18" s="41"/>
      <c r="H18" s="41"/>
      <c r="I18" s="41"/>
      <c r="J18" s="41"/>
      <c r="K18" s="41">
        <f t="shared" si="1"/>
        <v>0</v>
      </c>
      <c r="L18" s="41" t="str">
        <f t="shared" si="2"/>
        <v/>
      </c>
      <c r="M18" s="34"/>
    </row>
    <row r="19" s="2" customFormat="1" ht="16.5" customHeight="1" spans="1:13">
      <c r="A19" s="11"/>
      <c r="B19" s="25"/>
      <c r="C19" s="34"/>
      <c r="D19" s="34"/>
      <c r="E19" s="41"/>
      <c r="F19" s="41"/>
      <c r="G19" s="41"/>
      <c r="H19" s="41"/>
      <c r="I19" s="41"/>
      <c r="J19" s="41"/>
      <c r="K19" s="41">
        <f t="shared" si="1"/>
        <v>0</v>
      </c>
      <c r="L19" s="41" t="str">
        <f t="shared" si="2"/>
        <v/>
      </c>
      <c r="M19" s="34"/>
    </row>
    <row r="20" s="2" customFormat="1" ht="16.5" customHeight="1" spans="1:13">
      <c r="A20" s="11"/>
      <c r="B20" s="25"/>
      <c r="C20" s="34"/>
      <c r="D20" s="34"/>
      <c r="E20" s="41"/>
      <c r="F20" s="41"/>
      <c r="G20" s="41"/>
      <c r="H20" s="41"/>
      <c r="I20" s="41"/>
      <c r="J20" s="41"/>
      <c r="K20" s="41">
        <f t="shared" si="1"/>
        <v>0</v>
      </c>
      <c r="L20" s="41" t="str">
        <f t="shared" si="2"/>
        <v/>
      </c>
      <c r="M20" s="34"/>
    </row>
    <row r="21" s="2" customFormat="1" ht="16.5" customHeight="1" spans="1:13">
      <c r="A21" s="11"/>
      <c r="B21" s="25"/>
      <c r="C21" s="34"/>
      <c r="D21" s="34"/>
      <c r="E21" s="41"/>
      <c r="F21" s="41"/>
      <c r="G21" s="41"/>
      <c r="H21" s="41"/>
      <c r="I21" s="41"/>
      <c r="J21" s="41"/>
      <c r="K21" s="41">
        <f t="shared" si="1"/>
        <v>0</v>
      </c>
      <c r="L21" s="41" t="str">
        <f t="shared" si="2"/>
        <v/>
      </c>
      <c r="M21" s="34"/>
    </row>
    <row r="22" s="2" customFormat="1" ht="16.5" customHeight="1" spans="1:13">
      <c r="A22" s="11"/>
      <c r="B22" s="25"/>
      <c r="C22" s="34"/>
      <c r="D22" s="34"/>
      <c r="E22" s="41"/>
      <c r="F22" s="41"/>
      <c r="G22" s="41"/>
      <c r="H22" s="41"/>
      <c r="I22" s="41"/>
      <c r="J22" s="41"/>
      <c r="K22" s="41">
        <f t="shared" si="1"/>
        <v>0</v>
      </c>
      <c r="L22" s="41" t="str">
        <f t="shared" si="2"/>
        <v/>
      </c>
      <c r="M22" s="34"/>
    </row>
    <row r="23" s="2" customFormat="1" ht="16.5" customHeight="1" spans="1:13">
      <c r="A23" s="11"/>
      <c r="B23" s="25"/>
      <c r="C23" s="34"/>
      <c r="D23" s="34"/>
      <c r="E23" s="41"/>
      <c r="F23" s="41"/>
      <c r="G23" s="41"/>
      <c r="H23" s="41"/>
      <c r="I23" s="41"/>
      <c r="J23" s="41"/>
      <c r="K23" s="41">
        <f t="shared" si="1"/>
        <v>0</v>
      </c>
      <c r="L23" s="41" t="str">
        <f t="shared" si="2"/>
        <v/>
      </c>
      <c r="M23" s="34"/>
    </row>
    <row r="24" s="2" customFormat="1" ht="16.5" customHeight="1" spans="1:13">
      <c r="A24" s="11"/>
      <c r="B24" s="25"/>
      <c r="C24" s="34"/>
      <c r="D24" s="34"/>
      <c r="E24" s="41"/>
      <c r="F24" s="41"/>
      <c r="G24" s="41"/>
      <c r="H24" s="41"/>
      <c r="I24" s="41"/>
      <c r="J24" s="41"/>
      <c r="K24" s="41">
        <f t="shared" si="1"/>
        <v>0</v>
      </c>
      <c r="L24" s="41" t="str">
        <f t="shared" si="2"/>
        <v/>
      </c>
      <c r="M24" s="34"/>
    </row>
    <row r="25" s="2" customFormat="1" ht="16.5" customHeight="1" spans="1:13">
      <c r="A25" s="11"/>
      <c r="B25" s="25"/>
      <c r="C25" s="34"/>
      <c r="D25" s="34"/>
      <c r="E25" s="41"/>
      <c r="F25" s="41"/>
      <c r="G25" s="41"/>
      <c r="H25" s="41"/>
      <c r="I25" s="41"/>
      <c r="J25" s="41"/>
      <c r="K25" s="41">
        <f t="shared" si="1"/>
        <v>0</v>
      </c>
      <c r="L25" s="41" t="str">
        <f t="shared" si="2"/>
        <v/>
      </c>
      <c r="M25" s="34"/>
    </row>
    <row r="26" s="2" customFormat="1" ht="16.5" customHeight="1" spans="1:13">
      <c r="A26" s="89" t="s">
        <v>147</v>
      </c>
      <c r="B26" s="30"/>
      <c r="C26" s="34"/>
      <c r="D26" s="34"/>
      <c r="E26" s="41">
        <f t="shared" ref="E26:H26" si="3">ROUND(SUM(E8:E25),2)</f>
        <v>0</v>
      </c>
      <c r="F26" s="41"/>
      <c r="G26" s="41">
        <f t="shared" si="3"/>
        <v>0</v>
      </c>
      <c r="H26" s="41">
        <f t="shared" si="3"/>
        <v>682</v>
      </c>
      <c r="I26" s="41"/>
      <c r="J26" s="41">
        <f>ROUND(SUM(J8:J25),2)</f>
        <v>4000</v>
      </c>
      <c r="K26" s="41">
        <f t="shared" si="1"/>
        <v>4000</v>
      </c>
      <c r="L26" s="41" t="str">
        <f t="shared" si="2"/>
        <v/>
      </c>
      <c r="M26" s="34"/>
    </row>
    <row r="27" customHeight="1" spans="1:13">
      <c r="A27" s="89" t="s">
        <v>148</v>
      </c>
      <c r="B27" s="30"/>
      <c r="C27" s="34"/>
      <c r="D27" s="34"/>
      <c r="E27" s="41">
        <f>ROUND(SUM(E9:E26),2)</f>
        <v>0</v>
      </c>
      <c r="F27" s="41"/>
      <c r="G27" s="41">
        <f>ROUND(SUM(G9:G26),2)</f>
        <v>0</v>
      </c>
      <c r="H27" s="41"/>
      <c r="I27" s="41"/>
      <c r="J27" s="41"/>
      <c r="K27" s="41">
        <f t="shared" si="1"/>
        <v>0</v>
      </c>
      <c r="L27" s="41" t="str">
        <f t="shared" si="2"/>
        <v/>
      </c>
      <c r="M27" s="34"/>
    </row>
    <row r="28" customHeight="1" spans="1:13">
      <c r="A28" s="89" t="s">
        <v>149</v>
      </c>
      <c r="B28" s="30"/>
      <c r="C28" s="34"/>
      <c r="D28" s="34"/>
      <c r="E28" s="41">
        <f>ROUND(SUM(E10:E27),2)</f>
        <v>0</v>
      </c>
      <c r="F28" s="41"/>
      <c r="G28" s="41">
        <f>G26-G27</f>
        <v>0</v>
      </c>
      <c r="H28" s="41">
        <f>ROUND(SUM(H8:H25),2)</f>
        <v>682</v>
      </c>
      <c r="I28" s="41"/>
      <c r="J28" s="41">
        <f>J26-J27</f>
        <v>4000</v>
      </c>
      <c r="K28" s="41">
        <f t="shared" si="1"/>
        <v>4000</v>
      </c>
      <c r="L28" s="41" t="str">
        <f t="shared" si="2"/>
        <v/>
      </c>
      <c r="M28" s="34"/>
    </row>
  </sheetData>
  <mergeCells count="13">
    <mergeCell ref="E6:G6"/>
    <mergeCell ref="I6:J6"/>
    <mergeCell ref="A26:B26"/>
    <mergeCell ref="A27:B27"/>
    <mergeCell ref="A28:B28"/>
    <mergeCell ref="A6:A7"/>
    <mergeCell ref="B6:B7"/>
    <mergeCell ref="C6:C7"/>
    <mergeCell ref="D6:D7"/>
    <mergeCell ref="H6:H7"/>
    <mergeCell ref="K6:K7"/>
    <mergeCell ref="L6:L7"/>
    <mergeCell ref="M6:M7"/>
  </mergeCells>
  <printOptions horizontalCentered="1"/>
  <pageMargins left="0.786805555555556" right="0.786805555555556" top="0.865277777777778" bottom="0.865277777777778" header="1.0625" footer="0.511805555555556"/>
  <pageSetup paperSize="9" fitToHeight="0" orientation="landscape" horizontalDpi="600"/>
  <headerFooter scaleWithDoc="0">
    <oddFooter>&amp;R&amp;10评估人员：王冰、武亚斌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8"/>
  <sheetViews>
    <sheetView showZeros="0" view="pageBreakPreview" zoomScaleNormal="100" zoomScaleSheetLayoutView="100" workbookViewId="0">
      <selection activeCell="D10" sqref="D10"/>
    </sheetView>
  </sheetViews>
  <sheetFormatPr defaultColWidth="9" defaultRowHeight="15.75" customHeight="1" outlineLevelCol="5"/>
  <cols>
    <col min="1" max="1" width="5.375" style="4" customWidth="1"/>
    <col min="2" max="2" width="28" style="4" customWidth="1"/>
    <col min="3" max="3" width="19.125" style="4" customWidth="1"/>
    <col min="4" max="4" width="21.75" style="4" customWidth="1"/>
    <col min="5" max="5" width="20.125" style="4" customWidth="1"/>
    <col min="6" max="6" width="14.5" style="4" customWidth="1"/>
    <col min="7" max="16384" width="9" style="4"/>
  </cols>
  <sheetData>
    <row r="1" s="1" customFormat="1" ht="30" customHeight="1" spans="1:6">
      <c r="A1" s="6" t="s">
        <v>150</v>
      </c>
      <c r="B1" s="6"/>
      <c r="C1" s="6"/>
      <c r="D1" s="6"/>
      <c r="E1" s="6"/>
      <c r="F1" s="6"/>
    </row>
    <row r="2" ht="16.5" customHeight="1" spans="1:6">
      <c r="A2" s="68" t="s">
        <v>1</v>
      </c>
      <c r="B2" s="7"/>
      <c r="C2" s="7"/>
      <c r="D2" s="7"/>
      <c r="E2" s="7"/>
      <c r="F2" s="7"/>
    </row>
    <row r="3" ht="16.5" customHeight="1" spans="1:6">
      <c r="A3" s="8"/>
      <c r="B3" s="9"/>
      <c r="C3" s="9"/>
      <c r="D3" s="9"/>
      <c r="E3" s="9"/>
      <c r="F3" s="69" t="s">
        <v>151</v>
      </c>
    </row>
    <row r="4" ht="16.5" customHeight="1" spans="1:6">
      <c r="A4" s="50" t="s">
        <v>41</v>
      </c>
      <c r="B4" s="2"/>
      <c r="C4" s="2"/>
      <c r="D4" s="2"/>
      <c r="E4" s="2"/>
      <c r="F4" s="70" t="s">
        <v>42</v>
      </c>
    </row>
    <row r="5" s="67" customFormat="1" ht="16.5" customHeight="1" spans="1:6">
      <c r="A5" s="71" t="s">
        <v>102</v>
      </c>
      <c r="B5" s="71" t="s">
        <v>103</v>
      </c>
      <c r="C5" s="71" t="s">
        <v>6</v>
      </c>
      <c r="D5" s="71" t="s">
        <v>7</v>
      </c>
      <c r="E5" s="31" t="s">
        <v>8</v>
      </c>
      <c r="F5" s="71" t="s">
        <v>45</v>
      </c>
    </row>
    <row r="6" ht="16.5" customHeight="1" spans="1:6">
      <c r="A6" s="71" t="s">
        <v>152</v>
      </c>
      <c r="B6" s="72" t="s">
        <v>60</v>
      </c>
      <c r="C6" s="41">
        <v>0</v>
      </c>
      <c r="D6" s="41">
        <v>0</v>
      </c>
      <c r="E6" s="41">
        <f t="shared" ref="E6:E22" si="0">D6-C6</f>
        <v>0</v>
      </c>
      <c r="F6" s="73" t="str">
        <f t="shared" ref="F6:F26" si="1">IF(C6=0,"",E6/C6*100)</f>
        <v/>
      </c>
    </row>
    <row r="7" ht="16.5" customHeight="1" spans="1:6">
      <c r="A7" s="71" t="s">
        <v>153</v>
      </c>
      <c r="B7" s="72" t="s">
        <v>61</v>
      </c>
      <c r="C7" s="41">
        <v>0</v>
      </c>
      <c r="D7" s="41">
        <v>0</v>
      </c>
      <c r="E7" s="41">
        <f t="shared" si="0"/>
        <v>0</v>
      </c>
      <c r="F7" s="73" t="str">
        <f t="shared" si="1"/>
        <v/>
      </c>
    </row>
    <row r="8" ht="16.5" customHeight="1" spans="1:6">
      <c r="A8" s="71" t="s">
        <v>154</v>
      </c>
      <c r="B8" s="72" t="s">
        <v>62</v>
      </c>
      <c r="C8" s="41">
        <v>0</v>
      </c>
      <c r="D8" s="41">
        <v>0</v>
      </c>
      <c r="E8" s="41">
        <f t="shared" si="0"/>
        <v>0</v>
      </c>
      <c r="F8" s="73" t="str">
        <f t="shared" si="1"/>
        <v/>
      </c>
    </row>
    <row r="9" ht="16.5" customHeight="1" spans="1:6">
      <c r="A9" s="71" t="s">
        <v>155</v>
      </c>
      <c r="B9" s="72" t="s">
        <v>63</v>
      </c>
      <c r="C9" s="41">
        <v>0</v>
      </c>
      <c r="D9" s="41">
        <v>0</v>
      </c>
      <c r="E9" s="41">
        <f t="shared" si="0"/>
        <v>0</v>
      </c>
      <c r="F9" s="73" t="str">
        <f t="shared" si="1"/>
        <v/>
      </c>
    </row>
    <row r="10" ht="16.5" customHeight="1" spans="1:6">
      <c r="A10" s="71" t="s">
        <v>156</v>
      </c>
      <c r="B10" s="72" t="s">
        <v>64</v>
      </c>
      <c r="C10" s="41">
        <v>0</v>
      </c>
      <c r="D10" s="41">
        <v>0</v>
      </c>
      <c r="E10" s="41">
        <f t="shared" si="0"/>
        <v>0</v>
      </c>
      <c r="F10" s="73" t="str">
        <f t="shared" si="1"/>
        <v/>
      </c>
    </row>
    <row r="11" ht="16.5" customHeight="1" spans="1:6">
      <c r="A11" s="71" t="s">
        <v>157</v>
      </c>
      <c r="B11" s="74" t="s">
        <v>21</v>
      </c>
      <c r="C11" s="41">
        <f>'4-6固定资产汇总'!D33</f>
        <v>0</v>
      </c>
      <c r="D11" s="41">
        <f>'4-6固定资产汇总'!F33</f>
        <v>2294400</v>
      </c>
      <c r="E11" s="41">
        <f t="shared" si="0"/>
        <v>2294400</v>
      </c>
      <c r="F11" s="73" t="str">
        <f t="shared" si="1"/>
        <v/>
      </c>
    </row>
    <row r="12" ht="16.5" customHeight="1" spans="1:6">
      <c r="A12" s="71" t="s">
        <v>158</v>
      </c>
      <c r="B12" s="72" t="s">
        <v>65</v>
      </c>
      <c r="C12" s="41">
        <v>0</v>
      </c>
      <c r="D12" s="41">
        <v>0</v>
      </c>
      <c r="E12" s="41">
        <f t="shared" si="0"/>
        <v>0</v>
      </c>
      <c r="F12" s="73" t="str">
        <f t="shared" si="1"/>
        <v/>
      </c>
    </row>
    <row r="13" ht="16.5" customHeight="1" spans="1:6">
      <c r="A13" s="71" t="s">
        <v>159</v>
      </c>
      <c r="B13" s="72" t="s">
        <v>66</v>
      </c>
      <c r="C13" s="41">
        <v>0</v>
      </c>
      <c r="D13" s="41">
        <v>0</v>
      </c>
      <c r="E13" s="41">
        <f t="shared" si="0"/>
        <v>0</v>
      </c>
      <c r="F13" s="73" t="str">
        <f t="shared" si="1"/>
        <v/>
      </c>
    </row>
    <row r="14" ht="16.5" customHeight="1" spans="1:6">
      <c r="A14" s="71" t="s">
        <v>160</v>
      </c>
      <c r="B14" s="72" t="s">
        <v>67</v>
      </c>
      <c r="C14" s="41">
        <v>0</v>
      </c>
      <c r="D14" s="41">
        <v>0</v>
      </c>
      <c r="E14" s="41">
        <f t="shared" si="0"/>
        <v>0</v>
      </c>
      <c r="F14" s="73" t="str">
        <f t="shared" si="1"/>
        <v/>
      </c>
    </row>
    <row r="15" ht="16.5" customHeight="1" spans="1:6">
      <c r="A15" s="71" t="s">
        <v>161</v>
      </c>
      <c r="B15" s="72" t="s">
        <v>68</v>
      </c>
      <c r="C15" s="41">
        <v>0</v>
      </c>
      <c r="D15" s="41">
        <v>0</v>
      </c>
      <c r="E15" s="41">
        <f t="shared" si="0"/>
        <v>0</v>
      </c>
      <c r="F15" s="73" t="str">
        <f t="shared" si="1"/>
        <v/>
      </c>
    </row>
    <row r="16" ht="16.5" customHeight="1" spans="1:6">
      <c r="A16" s="71" t="s">
        <v>162</v>
      </c>
      <c r="B16" s="72" t="s">
        <v>69</v>
      </c>
      <c r="C16" s="41">
        <v>0</v>
      </c>
      <c r="D16" s="41">
        <v>0</v>
      </c>
      <c r="E16" s="41">
        <f t="shared" si="0"/>
        <v>0</v>
      </c>
      <c r="F16" s="73" t="str">
        <f t="shared" si="1"/>
        <v/>
      </c>
    </row>
    <row r="17" ht="16.5" customHeight="1" spans="1:6">
      <c r="A17" s="71" t="s">
        <v>163</v>
      </c>
      <c r="B17" s="72" t="s">
        <v>70</v>
      </c>
      <c r="C17" s="41">
        <v>0</v>
      </c>
      <c r="D17" s="41">
        <v>0</v>
      </c>
      <c r="E17" s="41">
        <f t="shared" si="0"/>
        <v>0</v>
      </c>
      <c r="F17" s="73" t="str">
        <f t="shared" si="1"/>
        <v/>
      </c>
    </row>
    <row r="18" ht="16.5" customHeight="1" spans="1:6">
      <c r="A18" s="71" t="s">
        <v>164</v>
      </c>
      <c r="B18" s="72" t="s">
        <v>71</v>
      </c>
      <c r="C18" s="41">
        <v>0</v>
      </c>
      <c r="D18" s="41">
        <v>0</v>
      </c>
      <c r="E18" s="41">
        <f t="shared" si="0"/>
        <v>0</v>
      </c>
      <c r="F18" s="73" t="str">
        <f t="shared" si="1"/>
        <v/>
      </c>
    </row>
    <row r="19" ht="16.5" customHeight="1" spans="1:6">
      <c r="A19" s="71" t="s">
        <v>165</v>
      </c>
      <c r="B19" s="72" t="s">
        <v>72</v>
      </c>
      <c r="C19" s="41">
        <v>0</v>
      </c>
      <c r="D19" s="41">
        <v>0</v>
      </c>
      <c r="E19" s="41">
        <f t="shared" si="0"/>
        <v>0</v>
      </c>
      <c r="F19" s="73" t="str">
        <f t="shared" si="1"/>
        <v/>
      </c>
    </row>
    <row r="20" ht="16.5" customHeight="1" spans="1:6">
      <c r="A20" s="71" t="s">
        <v>166</v>
      </c>
      <c r="B20" s="72" t="s">
        <v>73</v>
      </c>
      <c r="C20" s="41">
        <v>0</v>
      </c>
      <c r="D20" s="41">
        <v>0</v>
      </c>
      <c r="E20" s="41">
        <f t="shared" si="0"/>
        <v>0</v>
      </c>
      <c r="F20" s="73" t="str">
        <f t="shared" si="1"/>
        <v/>
      </c>
    </row>
    <row r="21" ht="16.5" customHeight="1" spans="1:6">
      <c r="A21" s="71" t="s">
        <v>167</v>
      </c>
      <c r="B21" s="72" t="s">
        <v>74</v>
      </c>
      <c r="C21" s="41">
        <v>0</v>
      </c>
      <c r="D21" s="41">
        <v>0</v>
      </c>
      <c r="E21" s="41">
        <f t="shared" si="0"/>
        <v>0</v>
      </c>
      <c r="F21" s="73" t="str">
        <f t="shared" si="1"/>
        <v/>
      </c>
    </row>
    <row r="22" ht="16.5" customHeight="1" spans="1:6">
      <c r="A22" s="71" t="s">
        <v>168</v>
      </c>
      <c r="B22" s="72" t="s">
        <v>75</v>
      </c>
      <c r="C22" s="41">
        <v>0</v>
      </c>
      <c r="D22" s="41">
        <v>0</v>
      </c>
      <c r="E22" s="41">
        <f t="shared" si="0"/>
        <v>0</v>
      </c>
      <c r="F22" s="73" t="str">
        <f t="shared" si="1"/>
        <v/>
      </c>
    </row>
    <row r="23" ht="16.5" customHeight="1" spans="1:6">
      <c r="A23" s="11"/>
      <c r="B23" s="75"/>
      <c r="C23" s="41"/>
      <c r="D23" s="41"/>
      <c r="E23" s="41"/>
      <c r="F23" s="73" t="str">
        <f t="shared" si="1"/>
        <v/>
      </c>
    </row>
    <row r="24" ht="16.5" customHeight="1" spans="1:6">
      <c r="A24" s="71"/>
      <c r="B24" s="33"/>
      <c r="C24" s="41"/>
      <c r="D24" s="41"/>
      <c r="E24" s="41"/>
      <c r="F24" s="73" t="str">
        <f t="shared" si="1"/>
        <v/>
      </c>
    </row>
    <row r="25" ht="16.5" customHeight="1" spans="1:6">
      <c r="A25" s="71"/>
      <c r="B25" s="33"/>
      <c r="C25" s="41"/>
      <c r="D25" s="41"/>
      <c r="E25" s="41"/>
      <c r="F25" s="73" t="str">
        <f t="shared" si="1"/>
        <v/>
      </c>
    </row>
    <row r="26" ht="16.5" customHeight="1" spans="1:6">
      <c r="A26" s="28" t="s">
        <v>169</v>
      </c>
      <c r="B26" s="30"/>
      <c r="C26" s="41">
        <f>SUM(C6:C25)</f>
        <v>0</v>
      </c>
      <c r="D26" s="41">
        <f>SUM(D6:D25)</f>
        <v>2294400</v>
      </c>
      <c r="E26" s="41">
        <f>D26-C26</f>
        <v>2294400</v>
      </c>
      <c r="F26" s="73" t="str">
        <f t="shared" si="1"/>
        <v/>
      </c>
    </row>
    <row r="27" ht="16.5" customHeight="1" spans="1:6">
      <c r="A27" s="76"/>
      <c r="B27" s="76"/>
      <c r="C27" s="62"/>
      <c r="D27" s="63"/>
      <c r="E27" s="63"/>
      <c r="F27" s="62"/>
    </row>
    <row r="28" customHeight="1" spans="1:6">
      <c r="A28" s="77"/>
      <c r="E28" s="65" t="s">
        <v>170</v>
      </c>
      <c r="F28" s="65"/>
    </row>
  </sheetData>
  <mergeCells count="1">
    <mergeCell ref="A26:B26"/>
  </mergeCells>
  <printOptions horizontalCentered="1"/>
  <pageMargins left="1" right="1" top="0.865277777777778" bottom="0.559027777777778" header="1.0625" footer="0.511805555555556"/>
  <pageSetup paperSize="9" fitToHeight="0" orientation="landscape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showZeros="0" view="pageBreakPreview" zoomScaleNormal="100" zoomScaleSheetLayoutView="100" workbookViewId="0">
      <selection activeCell="A5" sqref="A5:A6"/>
    </sheetView>
  </sheetViews>
  <sheetFormatPr defaultColWidth="9" defaultRowHeight="15.75" customHeight="1"/>
  <cols>
    <col min="1" max="1" width="12.625" style="4" customWidth="1"/>
    <col min="2" max="2" width="50.625" style="4" customWidth="1"/>
    <col min="3" max="3" width="13.5" style="4" customWidth="1"/>
    <col min="4" max="4" width="12.75" style="4" customWidth="1"/>
    <col min="5" max="6" width="25.625" style="4" customWidth="1"/>
    <col min="7" max="8" width="12.875" style="4" hidden="1" customWidth="1"/>
    <col min="9" max="10" width="9.75" style="4" hidden="1" customWidth="1"/>
    <col min="11" max="16384" width="9" style="4"/>
  </cols>
  <sheetData>
    <row r="1" s="1" customFormat="1" ht="30" customHeight="1" spans="1:10">
      <c r="A1" s="46" t="s">
        <v>171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16.5" customHeight="1" spans="1:10">
      <c r="A2" s="7" t="str">
        <f>'1-汇总表'!A2</f>
        <v>评估基准日：2018年10月23日</v>
      </c>
      <c r="B2" s="7"/>
      <c r="C2" s="7"/>
      <c r="D2" s="7"/>
      <c r="E2" s="47"/>
      <c r="F2" s="47"/>
      <c r="G2" s="47"/>
      <c r="H2" s="47"/>
      <c r="I2" s="47"/>
      <c r="J2" s="47"/>
    </row>
    <row r="3" s="2" customFormat="1" ht="16.5" customHeight="1" spans="1:10">
      <c r="A3" s="8"/>
      <c r="B3" s="9"/>
      <c r="C3" s="9"/>
      <c r="D3" s="9"/>
      <c r="E3" s="48"/>
      <c r="F3" s="49" t="s">
        <v>172</v>
      </c>
      <c r="G3" s="48"/>
      <c r="I3" s="66"/>
      <c r="J3" s="49" t="s">
        <v>172</v>
      </c>
    </row>
    <row r="4" s="2" customFormat="1" ht="16.5" customHeight="1" spans="1:10">
      <c r="A4" s="50" t="s">
        <v>173</v>
      </c>
      <c r="F4" s="51" t="s">
        <v>42</v>
      </c>
      <c r="H4" s="52"/>
      <c r="I4" s="52"/>
      <c r="J4" s="51" t="s">
        <v>42</v>
      </c>
    </row>
    <row r="5" s="3" customFormat="1" ht="16.5" customHeight="1" spans="1:10">
      <c r="A5" s="11" t="s">
        <v>102</v>
      </c>
      <c r="B5" s="11" t="s">
        <v>103</v>
      </c>
      <c r="C5" s="29" t="s">
        <v>6</v>
      </c>
      <c r="D5" s="30"/>
      <c r="E5" s="11" t="s">
        <v>7</v>
      </c>
      <c r="F5" s="11"/>
      <c r="G5" s="11" t="s">
        <v>8</v>
      </c>
      <c r="H5" s="11"/>
      <c r="I5" s="11" t="s">
        <v>45</v>
      </c>
      <c r="J5" s="11"/>
    </row>
    <row r="6" s="3" customFormat="1" ht="16.5" customHeight="1" spans="1:10">
      <c r="A6" s="11"/>
      <c r="B6" s="11"/>
      <c r="C6" s="30" t="s">
        <v>174</v>
      </c>
      <c r="D6" s="11" t="s">
        <v>175</v>
      </c>
      <c r="E6" s="11" t="s">
        <v>174</v>
      </c>
      <c r="F6" s="11" t="s">
        <v>175</v>
      </c>
      <c r="G6" s="11" t="s">
        <v>174</v>
      </c>
      <c r="H6" s="11" t="s">
        <v>175</v>
      </c>
      <c r="I6" s="11" t="s">
        <v>174</v>
      </c>
      <c r="J6" s="11" t="s">
        <v>175</v>
      </c>
    </row>
    <row r="7" s="2" customFormat="1" ht="16.5" customHeight="1" spans="1:10">
      <c r="A7" s="53"/>
      <c r="B7" s="54" t="s">
        <v>176</v>
      </c>
      <c r="C7" s="41">
        <f t="shared" ref="C7:F7" si="0">SUM(C8:C10)</f>
        <v>0</v>
      </c>
      <c r="D7" s="41">
        <f t="shared" si="0"/>
        <v>0</v>
      </c>
      <c r="E7" s="41">
        <f t="shared" si="0"/>
        <v>0</v>
      </c>
      <c r="F7" s="41">
        <f t="shared" si="0"/>
        <v>2294400</v>
      </c>
      <c r="G7" s="41">
        <f t="shared" ref="G7:G10" si="1">E7-C7</f>
        <v>0</v>
      </c>
      <c r="H7" s="41">
        <f t="shared" ref="H7:H10" si="2">F7-D7</f>
        <v>2294400</v>
      </c>
      <c r="I7" s="41" t="str">
        <f t="shared" ref="I7:I14" si="3">IF(C7=0,"",G7/C7*100)</f>
        <v/>
      </c>
      <c r="J7" s="41" t="str">
        <f t="shared" ref="J7:J14" si="4">IF(D7=0,"",H7/D7*100)</f>
        <v/>
      </c>
    </row>
    <row r="8" s="2" customFormat="1" ht="16.5" customHeight="1" spans="1:10">
      <c r="A8" s="53" t="s">
        <v>177</v>
      </c>
      <c r="B8" s="55" t="s">
        <v>178</v>
      </c>
      <c r="C8" s="41">
        <f>'4-6-1房屋建筑物'!I27</f>
        <v>0</v>
      </c>
      <c r="D8" s="41">
        <f>'4-6-1房屋建筑物'!J27</f>
        <v>0</v>
      </c>
      <c r="E8" s="41">
        <f>'4-6-1房屋建筑物'!K27</f>
        <v>0</v>
      </c>
      <c r="F8" s="41">
        <f>'4-6-1房屋建筑物'!M27</f>
        <v>2294400</v>
      </c>
      <c r="G8" s="41">
        <f t="shared" si="1"/>
        <v>0</v>
      </c>
      <c r="H8" s="41">
        <f t="shared" si="2"/>
        <v>2294400</v>
      </c>
      <c r="I8" s="41" t="str">
        <f t="shared" si="3"/>
        <v/>
      </c>
      <c r="J8" s="41" t="str">
        <f t="shared" si="4"/>
        <v/>
      </c>
    </row>
    <row r="9" s="2" customFormat="1" ht="16.5" customHeight="1" spans="1:10">
      <c r="A9" s="53" t="s">
        <v>179</v>
      </c>
      <c r="B9" s="55" t="s">
        <v>180</v>
      </c>
      <c r="C9" s="41">
        <v>0</v>
      </c>
      <c r="D9" s="41">
        <v>0</v>
      </c>
      <c r="E9" s="41">
        <v>0</v>
      </c>
      <c r="F9" s="41">
        <v>0</v>
      </c>
      <c r="G9" s="41">
        <f t="shared" si="1"/>
        <v>0</v>
      </c>
      <c r="H9" s="41">
        <f t="shared" si="2"/>
        <v>0</v>
      </c>
      <c r="I9" s="41" t="str">
        <f t="shared" si="3"/>
        <v/>
      </c>
      <c r="J9" s="41" t="str">
        <f t="shared" si="4"/>
        <v/>
      </c>
    </row>
    <row r="10" s="2" customFormat="1" ht="16.5" customHeight="1" spans="1:10">
      <c r="A10" s="53" t="s">
        <v>181</v>
      </c>
      <c r="B10" s="55" t="s">
        <v>182</v>
      </c>
      <c r="C10" s="41">
        <v>0</v>
      </c>
      <c r="D10" s="41">
        <v>0</v>
      </c>
      <c r="E10" s="41">
        <v>0</v>
      </c>
      <c r="F10" s="41">
        <v>0</v>
      </c>
      <c r="G10" s="41">
        <f t="shared" si="1"/>
        <v>0</v>
      </c>
      <c r="H10" s="41">
        <f t="shared" si="2"/>
        <v>0</v>
      </c>
      <c r="I10" s="41" t="str">
        <f t="shared" si="3"/>
        <v/>
      </c>
      <c r="J10" s="41" t="str">
        <f t="shared" si="4"/>
        <v/>
      </c>
    </row>
    <row r="11" s="2" customFormat="1" ht="16.5" customHeight="1" spans="1:10">
      <c r="A11" s="53"/>
      <c r="B11" s="56"/>
      <c r="C11" s="41"/>
      <c r="D11" s="41"/>
      <c r="E11" s="41"/>
      <c r="F11" s="41"/>
      <c r="G11" s="41"/>
      <c r="H11" s="41"/>
      <c r="I11" s="41" t="str">
        <f t="shared" si="3"/>
        <v/>
      </c>
      <c r="J11" s="41" t="str">
        <f t="shared" si="4"/>
        <v/>
      </c>
    </row>
    <row r="12" s="2" customFormat="1" ht="16.5" customHeight="1" spans="1:10">
      <c r="A12" s="53"/>
      <c r="B12" s="55"/>
      <c r="C12" s="41"/>
      <c r="D12" s="41"/>
      <c r="E12" s="41"/>
      <c r="F12" s="41"/>
      <c r="G12" s="41"/>
      <c r="H12" s="41"/>
      <c r="I12" s="41" t="str">
        <f t="shared" si="3"/>
        <v/>
      </c>
      <c r="J12" s="41" t="str">
        <f t="shared" si="4"/>
        <v/>
      </c>
    </row>
    <row r="13" s="2" customFormat="1" ht="16.5" customHeight="1" spans="1:10">
      <c r="A13" s="53"/>
      <c r="B13" s="54" t="s">
        <v>183</v>
      </c>
      <c r="C13" s="41"/>
      <c r="D13" s="41"/>
      <c r="E13" s="41">
        <f>SUM(E14:E15)</f>
        <v>0</v>
      </c>
      <c r="F13" s="41">
        <f>SUM(F14:F15)</f>
        <v>0</v>
      </c>
      <c r="G13" s="41"/>
      <c r="H13" s="41"/>
      <c r="I13" s="41" t="str">
        <f t="shared" si="3"/>
        <v/>
      </c>
      <c r="J13" s="41" t="str">
        <f t="shared" si="4"/>
        <v/>
      </c>
    </row>
    <row r="14" s="2" customFormat="1" ht="16.5" customHeight="1" spans="1:10">
      <c r="A14" s="53" t="s">
        <v>184</v>
      </c>
      <c r="B14" s="55" t="s">
        <v>185</v>
      </c>
      <c r="C14" s="41"/>
      <c r="D14" s="41"/>
      <c r="E14" s="41">
        <v>0</v>
      </c>
      <c r="F14" s="41">
        <v>0</v>
      </c>
      <c r="G14" s="41"/>
      <c r="H14" s="41"/>
      <c r="I14" s="41" t="str">
        <f t="shared" si="3"/>
        <v/>
      </c>
      <c r="J14" s="41" t="str">
        <f t="shared" si="4"/>
        <v/>
      </c>
    </row>
    <row r="15" s="2" customFormat="1" ht="16.5" customHeight="1" spans="1:10">
      <c r="A15" s="53"/>
      <c r="B15" s="55"/>
      <c r="C15" s="41"/>
      <c r="D15" s="41"/>
      <c r="E15" s="41"/>
      <c r="F15" s="41"/>
      <c r="G15" s="41"/>
      <c r="H15" s="41"/>
      <c r="I15" s="41"/>
      <c r="J15" s="41"/>
    </row>
    <row r="16" s="2" customFormat="1" ht="16.5" customHeight="1" spans="1:10">
      <c r="A16" s="53"/>
      <c r="B16" s="55"/>
      <c r="C16" s="41"/>
      <c r="D16" s="41"/>
      <c r="E16" s="41"/>
      <c r="F16" s="41"/>
      <c r="G16" s="41"/>
      <c r="H16" s="41"/>
      <c r="I16" s="41"/>
      <c r="J16" s="41"/>
    </row>
    <row r="17" s="2" customFormat="1" ht="16.5" customHeight="1" spans="1:10">
      <c r="A17" s="53"/>
      <c r="B17" s="55"/>
      <c r="C17" s="41"/>
      <c r="D17" s="41"/>
      <c r="E17" s="41"/>
      <c r="F17" s="41"/>
      <c r="G17" s="41"/>
      <c r="H17" s="41"/>
      <c r="I17" s="41"/>
      <c r="J17" s="41"/>
    </row>
    <row r="18" s="2" customFormat="1" ht="16.5" customHeight="1" spans="1:10">
      <c r="A18" s="53"/>
      <c r="B18" s="55"/>
      <c r="C18" s="41"/>
      <c r="D18" s="41"/>
      <c r="E18" s="41"/>
      <c r="F18" s="41"/>
      <c r="G18" s="41"/>
      <c r="H18" s="41"/>
      <c r="I18" s="41"/>
      <c r="J18" s="41"/>
    </row>
    <row r="19" s="2" customFormat="1" ht="16.5" customHeight="1" spans="1:10">
      <c r="A19" s="53"/>
      <c r="B19" s="55"/>
      <c r="C19" s="41"/>
      <c r="D19" s="41"/>
      <c r="E19" s="41"/>
      <c r="F19" s="41"/>
      <c r="G19" s="41"/>
      <c r="H19" s="41"/>
      <c r="I19" s="41"/>
      <c r="J19" s="41"/>
    </row>
    <row r="20" s="2" customFormat="1" ht="16.5" customHeight="1" spans="1:10">
      <c r="A20" s="53"/>
      <c r="B20" s="55"/>
      <c r="C20" s="41"/>
      <c r="D20" s="41"/>
      <c r="E20" s="41"/>
      <c r="F20" s="41"/>
      <c r="G20" s="41"/>
      <c r="H20" s="41"/>
      <c r="I20" s="41"/>
      <c r="J20" s="41"/>
    </row>
    <row r="21" s="2" customFormat="1" ht="16.5" customHeight="1" spans="1:10">
      <c r="A21" s="53"/>
      <c r="B21" s="55"/>
      <c r="C21" s="41"/>
      <c r="D21" s="41"/>
      <c r="E21" s="41"/>
      <c r="F21" s="41"/>
      <c r="G21" s="41"/>
      <c r="H21" s="41"/>
      <c r="I21" s="41"/>
      <c r="J21" s="41"/>
    </row>
    <row r="22" s="2" customFormat="1" ht="16.5" customHeight="1" spans="1:10">
      <c r="A22" s="53"/>
      <c r="B22" s="55"/>
      <c r="C22" s="41"/>
      <c r="D22" s="41"/>
      <c r="E22" s="41"/>
      <c r="F22" s="41"/>
      <c r="G22" s="41"/>
      <c r="H22" s="41"/>
      <c r="I22" s="41"/>
      <c r="J22" s="41"/>
    </row>
    <row r="23" s="2" customFormat="1" ht="16.5" customHeight="1" spans="1:10">
      <c r="A23" s="53"/>
      <c r="B23" s="55"/>
      <c r="C23" s="41"/>
      <c r="D23" s="41"/>
      <c r="E23" s="41"/>
      <c r="F23" s="41"/>
      <c r="G23" s="41"/>
      <c r="H23" s="41"/>
      <c r="I23" s="41"/>
      <c r="J23" s="41"/>
    </row>
    <row r="24" s="2" customFormat="1" ht="16.5" customHeight="1" spans="1:10">
      <c r="A24" s="53"/>
      <c r="B24" s="55"/>
      <c r="C24" s="41"/>
      <c r="D24" s="41"/>
      <c r="E24" s="41"/>
      <c r="F24" s="41"/>
      <c r="G24" s="41"/>
      <c r="H24" s="41"/>
      <c r="I24" s="41"/>
      <c r="J24" s="41"/>
    </row>
    <row r="25" s="2" customFormat="1" ht="16.5" customHeight="1" spans="1:10">
      <c r="A25" s="53"/>
      <c r="B25" s="55"/>
      <c r="C25" s="41"/>
      <c r="D25" s="41"/>
      <c r="E25" s="41"/>
      <c r="F25" s="41"/>
      <c r="G25" s="41"/>
      <c r="H25" s="41"/>
      <c r="I25" s="41"/>
      <c r="J25" s="41"/>
    </row>
    <row r="26" s="2" customFormat="1" ht="16.5" customHeight="1" spans="1:10">
      <c r="A26" s="53"/>
      <c r="B26" s="55"/>
      <c r="C26" s="41"/>
      <c r="D26" s="41"/>
      <c r="E26" s="41"/>
      <c r="F26" s="41"/>
      <c r="G26" s="41"/>
      <c r="H26" s="41"/>
      <c r="I26" s="41"/>
      <c r="J26" s="41"/>
    </row>
    <row r="27" s="2" customFormat="1" ht="16.5" customHeight="1" spans="1:10">
      <c r="A27" s="53"/>
      <c r="B27" s="55"/>
      <c r="C27" s="41"/>
      <c r="D27" s="41"/>
      <c r="E27" s="41"/>
      <c r="F27" s="41"/>
      <c r="G27" s="41"/>
      <c r="H27" s="41"/>
      <c r="I27" s="41"/>
      <c r="J27" s="41"/>
    </row>
    <row r="28" s="2" customFormat="1" ht="16.5" customHeight="1" spans="1:10">
      <c r="A28" s="53"/>
      <c r="B28" s="55"/>
      <c r="C28" s="41"/>
      <c r="D28" s="41"/>
      <c r="E28" s="41"/>
      <c r="F28" s="41"/>
      <c r="G28" s="41"/>
      <c r="H28" s="41"/>
      <c r="I28" s="41"/>
      <c r="J28" s="41"/>
    </row>
    <row r="29" s="2" customFormat="1" ht="16.5" customHeight="1" spans="1:10">
      <c r="A29" s="53"/>
      <c r="B29" s="55"/>
      <c r="C29" s="41"/>
      <c r="D29" s="41"/>
      <c r="E29" s="41"/>
      <c r="F29" s="41"/>
      <c r="G29" s="41"/>
      <c r="H29" s="41"/>
      <c r="I29" s="41"/>
      <c r="J29" s="41"/>
    </row>
    <row r="30" s="2" customFormat="1" ht="16.5" hidden="1" customHeight="1" spans="1:10">
      <c r="A30" s="53"/>
      <c r="B30" s="55"/>
      <c r="C30" s="41"/>
      <c r="D30" s="41"/>
      <c r="E30" s="41"/>
      <c r="F30" s="41"/>
      <c r="G30" s="41"/>
      <c r="H30" s="41"/>
      <c r="I30" s="41"/>
      <c r="J30" s="41"/>
    </row>
    <row r="31" s="2" customFormat="1" ht="16.5" customHeight="1" spans="1:10">
      <c r="A31" s="57" t="s">
        <v>186</v>
      </c>
      <c r="B31" s="58"/>
      <c r="C31" s="41"/>
      <c r="D31" s="41"/>
      <c r="E31" s="41">
        <f>E13</f>
        <v>0</v>
      </c>
      <c r="F31" s="41">
        <f>F7+F13</f>
        <v>2294400</v>
      </c>
      <c r="G31" s="41">
        <f t="shared" ref="G31:G33" si="5">E31-C31</f>
        <v>0</v>
      </c>
      <c r="H31" s="41">
        <f t="shared" ref="H31:H33" si="6">F31-D31</f>
        <v>2294400</v>
      </c>
      <c r="I31" s="41" t="str">
        <f t="shared" ref="I31:I33" si="7">IF(C31=0,"",G31/C31*100)</f>
        <v/>
      </c>
      <c r="J31" s="41" t="str">
        <f t="shared" ref="J31:J33" si="8">IF(D31=0,"",H31/D31*100)</f>
        <v/>
      </c>
    </row>
    <row r="32" s="2" customFormat="1" ht="16.5" customHeight="1" spans="1:10">
      <c r="A32" s="31" t="s">
        <v>187</v>
      </c>
      <c r="B32" s="33"/>
      <c r="C32" s="41"/>
      <c r="D32" s="41"/>
      <c r="E32" s="41"/>
      <c r="F32" s="41"/>
      <c r="G32" s="41">
        <f t="shared" si="5"/>
        <v>0</v>
      </c>
      <c r="H32" s="41">
        <f t="shared" si="6"/>
        <v>0</v>
      </c>
      <c r="I32" s="41" t="str">
        <f t="shared" si="7"/>
        <v/>
      </c>
      <c r="J32" s="41" t="str">
        <f t="shared" si="8"/>
        <v/>
      </c>
    </row>
    <row r="33" s="2" customFormat="1" ht="16.5" customHeight="1" spans="1:10">
      <c r="A33" s="59" t="s">
        <v>186</v>
      </c>
      <c r="B33" s="60"/>
      <c r="C33" s="41"/>
      <c r="D33" s="41"/>
      <c r="E33" s="41">
        <f t="shared" ref="C33:F33" si="9">E31-E32</f>
        <v>0</v>
      </c>
      <c r="F33" s="41">
        <f t="shared" si="9"/>
        <v>2294400</v>
      </c>
      <c r="G33" s="41">
        <f t="shared" si="5"/>
        <v>0</v>
      </c>
      <c r="H33" s="41">
        <f t="shared" si="6"/>
        <v>2294400</v>
      </c>
      <c r="I33" s="41" t="str">
        <f t="shared" si="7"/>
        <v/>
      </c>
      <c r="J33" s="41" t="str">
        <f t="shared" si="8"/>
        <v/>
      </c>
    </row>
    <row r="34" s="2" customFormat="1" ht="16.5" customHeight="1" spans="1:10">
      <c r="A34" s="61"/>
      <c r="B34" s="61"/>
      <c r="C34" s="62"/>
      <c r="D34" s="62"/>
      <c r="E34" s="63"/>
      <c r="F34" s="63"/>
      <c r="G34" s="63"/>
      <c r="H34" s="63"/>
      <c r="I34" s="63"/>
      <c r="J34" s="63"/>
    </row>
    <row r="35" s="2" customFormat="1" ht="16.5" customHeight="1" spans="5:10">
      <c r="E35" s="64" t="s">
        <v>122</v>
      </c>
      <c r="F35" s="64"/>
      <c r="H35" s="65"/>
      <c r="I35" s="65"/>
      <c r="J35" s="65"/>
    </row>
  </sheetData>
  <mergeCells count="10">
    <mergeCell ref="C5:D5"/>
    <mergeCell ref="E5:F5"/>
    <mergeCell ref="G5:H5"/>
    <mergeCell ref="I5:J5"/>
    <mergeCell ref="A31:B31"/>
    <mergeCell ref="A32:B32"/>
    <mergeCell ref="A33:B33"/>
    <mergeCell ref="E35:F35"/>
    <mergeCell ref="A5:A6"/>
    <mergeCell ref="B5:B6"/>
  </mergeCells>
  <printOptions horizontalCentered="1"/>
  <pageMargins left="0.354166666666667" right="0.354166666666667" top="1.07916666666667" bottom="0.786805555555556" header="1.35902777777778" footer="0.511805555555556"/>
  <pageSetup paperSize="9" scale="93" fitToHeight="0" orientation="landscape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1"/>
  <sheetViews>
    <sheetView showZeros="0" view="pageBreakPreview" zoomScaleNormal="100" zoomScaleSheetLayoutView="100" workbookViewId="0">
      <selection activeCell="A4" sqref="A4"/>
    </sheetView>
  </sheetViews>
  <sheetFormatPr defaultColWidth="9" defaultRowHeight="15.75" customHeight="1"/>
  <cols>
    <col min="1" max="1" width="5" style="4" customWidth="1"/>
    <col min="2" max="2" width="32.5" style="4" customWidth="1"/>
    <col min="3" max="3" width="26.125" style="4" customWidth="1"/>
    <col min="4" max="4" width="6.875" style="4" customWidth="1"/>
    <col min="5" max="5" width="6.375" style="4" customWidth="1"/>
    <col min="6" max="6" width="8.125" style="4" customWidth="1"/>
    <col min="7" max="7" width="13.75" style="4" customWidth="1"/>
    <col min="8" max="8" width="20.125" style="4" customWidth="1"/>
    <col min="9" max="9" width="9.625" style="4" hidden="1" customWidth="1"/>
    <col min="10" max="10" width="8.875" style="4" hidden="1" customWidth="1"/>
    <col min="11" max="11" width="8.625" style="4" hidden="1" customWidth="1"/>
    <col min="12" max="12" width="8.75" style="4" hidden="1" customWidth="1"/>
    <col min="13" max="13" width="11.125" style="4" customWidth="1"/>
    <col min="14" max="15" width="9.125" style="4" hidden="1" customWidth="1"/>
    <col min="16" max="16" width="7.375" style="4" hidden="1" customWidth="1"/>
    <col min="17" max="17" width="9.375" style="4" customWidth="1"/>
    <col min="18" max="18" width="7.5" style="4" customWidth="1"/>
    <col min="19" max="16384" width="9" style="4"/>
  </cols>
  <sheetData>
    <row r="1" s="1" customFormat="1" ht="30" customHeight="1" spans="1:18">
      <c r="A1" s="5" t="s">
        <v>188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="2" customFormat="1" ht="16.5" customHeight="1" spans="1:18">
      <c r="A2" s="7" t="str">
        <f>'1-汇总表'!A2</f>
        <v>评估基准日：2018年10月23日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="2" customFormat="1" ht="16.5" customHeight="1" spans="1:18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189</v>
      </c>
    </row>
    <row r="4" s="2" customFormat="1" ht="16.5" customHeight="1" spans="1:18">
      <c r="A4" s="10" t="str">
        <f>'1-汇总表'!A4</f>
        <v>被执行人：俞海敏</v>
      </c>
      <c r="R4" s="43" t="s">
        <v>42</v>
      </c>
    </row>
    <row r="5" s="2" customFormat="1" ht="16.5" hidden="1" customHeight="1" spans="1:18">
      <c r="A5" s="10"/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43"/>
    </row>
    <row r="6" s="3" customFormat="1" ht="16.5" customHeight="1" spans="1:18">
      <c r="A6" s="11" t="s">
        <v>43</v>
      </c>
      <c r="B6" s="11" t="s">
        <v>190</v>
      </c>
      <c r="C6" s="11" t="s">
        <v>191</v>
      </c>
      <c r="D6" s="12" t="s">
        <v>192</v>
      </c>
      <c r="E6" s="13" t="s">
        <v>193</v>
      </c>
      <c r="F6" s="14" t="s">
        <v>126</v>
      </c>
      <c r="G6" s="15" t="s">
        <v>194</v>
      </c>
      <c r="H6" s="15" t="s">
        <v>195</v>
      </c>
      <c r="I6" s="11" t="s">
        <v>6</v>
      </c>
      <c r="J6" s="11"/>
      <c r="K6" s="34" t="s">
        <v>7</v>
      </c>
      <c r="L6" s="34"/>
      <c r="M6" s="38" t="s">
        <v>129</v>
      </c>
      <c r="N6" s="28" t="s">
        <v>8</v>
      </c>
      <c r="O6" s="30"/>
      <c r="P6" s="13" t="s">
        <v>45</v>
      </c>
      <c r="Q6" s="44" t="s">
        <v>196</v>
      </c>
      <c r="R6" s="13" t="s">
        <v>130</v>
      </c>
    </row>
    <row r="7" s="3" customFormat="1" ht="28" customHeight="1" spans="1:18">
      <c r="A7" s="11"/>
      <c r="B7" s="11"/>
      <c r="C7" s="11"/>
      <c r="D7" s="16"/>
      <c r="E7" s="11"/>
      <c r="F7" s="17"/>
      <c r="G7" s="11"/>
      <c r="H7" s="11"/>
      <c r="I7" s="30" t="s">
        <v>174</v>
      </c>
      <c r="J7" s="11" t="s">
        <v>175</v>
      </c>
      <c r="K7" s="34" t="s">
        <v>174</v>
      </c>
      <c r="L7" s="39" t="s">
        <v>197</v>
      </c>
      <c r="M7" s="34"/>
      <c r="N7" s="40" t="s">
        <v>174</v>
      </c>
      <c r="O7" s="40" t="s">
        <v>175</v>
      </c>
      <c r="P7" s="11"/>
      <c r="Q7" s="45"/>
      <c r="R7" s="11"/>
    </row>
    <row r="8" s="2" customFormat="1" ht="32" customHeight="1" spans="1:18">
      <c r="A8" s="11">
        <v>1</v>
      </c>
      <c r="B8" s="18" t="s">
        <v>198</v>
      </c>
      <c r="C8" s="19" t="s">
        <v>199</v>
      </c>
      <c r="D8" s="20" t="s">
        <v>200</v>
      </c>
      <c r="E8" s="21" t="s">
        <v>201</v>
      </c>
      <c r="F8" s="22" t="s">
        <v>202</v>
      </c>
      <c r="G8" s="23">
        <v>208.58</v>
      </c>
      <c r="H8" s="24">
        <v>109.1</v>
      </c>
      <c r="I8" s="41"/>
      <c r="J8" s="41"/>
      <c r="K8" s="41"/>
      <c r="L8" s="41"/>
      <c r="M8" s="41">
        <f>ROUND(Q8*G8,-2)</f>
        <v>2294400</v>
      </c>
      <c r="N8" s="41">
        <f t="shared" ref="N8:N21" si="0">K8-I8</f>
        <v>0</v>
      </c>
      <c r="O8" s="41">
        <f t="shared" ref="O8:O29" si="1">M8-J8</f>
        <v>2294400</v>
      </c>
      <c r="P8" s="41" t="str">
        <f t="shared" ref="P8:P29" si="2">IF(J8=0,"",O8/J8*100)</f>
        <v/>
      </c>
      <c r="Q8" s="41">
        <v>11000</v>
      </c>
      <c r="R8" s="25"/>
    </row>
    <row r="9" s="2" customFormat="1" ht="16.5" customHeight="1" spans="1:18">
      <c r="A9" s="11"/>
      <c r="B9" s="25"/>
      <c r="C9" s="25"/>
      <c r="D9" s="26"/>
      <c r="E9" s="21"/>
      <c r="F9" s="27"/>
      <c r="G9" s="23"/>
      <c r="H9" s="24" t="s">
        <v>203</v>
      </c>
      <c r="I9" s="41"/>
      <c r="J9" s="41"/>
      <c r="K9" s="41"/>
      <c r="L9" s="41"/>
      <c r="M9" s="41"/>
      <c r="N9" s="41">
        <f t="shared" si="0"/>
        <v>0</v>
      </c>
      <c r="O9" s="41">
        <f t="shared" si="1"/>
        <v>0</v>
      </c>
      <c r="P9" s="41" t="str">
        <f t="shared" si="2"/>
        <v/>
      </c>
      <c r="Q9" s="41" t="str">
        <f t="shared" ref="Q9:Q21" si="3">IF(G9=0,"",ROUND(K9/G9,0))</f>
        <v/>
      </c>
      <c r="R9" s="25"/>
    </row>
    <row r="10" s="2" customFormat="1" ht="16.5" customHeight="1" spans="1:18">
      <c r="A10" s="11"/>
      <c r="B10" s="25"/>
      <c r="C10" s="25"/>
      <c r="D10" s="26"/>
      <c r="E10" s="21"/>
      <c r="F10" s="27"/>
      <c r="G10" s="23"/>
      <c r="H10" s="24" t="s">
        <v>203</v>
      </c>
      <c r="I10" s="41"/>
      <c r="J10" s="41"/>
      <c r="K10" s="41"/>
      <c r="L10" s="41"/>
      <c r="M10" s="41"/>
      <c r="N10" s="41">
        <f t="shared" si="0"/>
        <v>0</v>
      </c>
      <c r="O10" s="41">
        <f t="shared" si="1"/>
        <v>0</v>
      </c>
      <c r="P10" s="41" t="str">
        <f t="shared" si="2"/>
        <v/>
      </c>
      <c r="Q10" s="41" t="str">
        <f t="shared" si="3"/>
        <v/>
      </c>
      <c r="R10" s="25"/>
    </row>
    <row r="11" s="2" customFormat="1" ht="16.5" customHeight="1" spans="1:18">
      <c r="A11" s="11"/>
      <c r="B11" s="25"/>
      <c r="C11" s="25"/>
      <c r="D11" s="26"/>
      <c r="E11" s="21"/>
      <c r="F11" s="27"/>
      <c r="G11" s="23"/>
      <c r="H11" s="24" t="s">
        <v>203</v>
      </c>
      <c r="I11" s="41"/>
      <c r="J11" s="41"/>
      <c r="K11" s="41"/>
      <c r="L11" s="41"/>
      <c r="M11" s="41"/>
      <c r="N11" s="41">
        <f t="shared" si="0"/>
        <v>0</v>
      </c>
      <c r="O11" s="41">
        <f t="shared" si="1"/>
        <v>0</v>
      </c>
      <c r="P11" s="41" t="str">
        <f t="shared" si="2"/>
        <v/>
      </c>
      <c r="Q11" s="41" t="str">
        <f t="shared" si="3"/>
        <v/>
      </c>
      <c r="R11" s="25"/>
    </row>
    <row r="12" s="2" customFormat="1" ht="16.5" customHeight="1" spans="1:18">
      <c r="A12" s="11"/>
      <c r="B12" s="25"/>
      <c r="C12" s="25"/>
      <c r="D12" s="26"/>
      <c r="E12" s="21"/>
      <c r="F12" s="27"/>
      <c r="G12" s="23"/>
      <c r="H12" s="24" t="s">
        <v>203</v>
      </c>
      <c r="I12" s="41"/>
      <c r="J12" s="41"/>
      <c r="K12" s="41"/>
      <c r="L12" s="41"/>
      <c r="M12" s="41"/>
      <c r="N12" s="41">
        <f t="shared" si="0"/>
        <v>0</v>
      </c>
      <c r="O12" s="41">
        <f t="shared" si="1"/>
        <v>0</v>
      </c>
      <c r="P12" s="41" t="str">
        <f t="shared" si="2"/>
        <v/>
      </c>
      <c r="Q12" s="41" t="str">
        <f t="shared" si="3"/>
        <v/>
      </c>
      <c r="R12" s="25"/>
    </row>
    <row r="13" s="2" customFormat="1" ht="16.5" customHeight="1" spans="1:18">
      <c r="A13" s="11"/>
      <c r="B13" s="25"/>
      <c r="C13" s="25"/>
      <c r="D13" s="26"/>
      <c r="E13" s="21"/>
      <c r="F13" s="27"/>
      <c r="G13" s="23"/>
      <c r="H13" s="24" t="s">
        <v>203</v>
      </c>
      <c r="I13" s="41"/>
      <c r="J13" s="41"/>
      <c r="K13" s="41"/>
      <c r="L13" s="41"/>
      <c r="M13" s="41"/>
      <c r="N13" s="41">
        <f t="shared" si="0"/>
        <v>0</v>
      </c>
      <c r="O13" s="41">
        <f t="shared" si="1"/>
        <v>0</v>
      </c>
      <c r="P13" s="41" t="str">
        <f t="shared" si="2"/>
        <v/>
      </c>
      <c r="Q13" s="41" t="str">
        <f t="shared" si="3"/>
        <v/>
      </c>
      <c r="R13" s="25"/>
    </row>
    <row r="14" s="2" customFormat="1" ht="16.5" customHeight="1" spans="1:18">
      <c r="A14" s="11"/>
      <c r="B14" s="25"/>
      <c r="C14" s="25"/>
      <c r="D14" s="26"/>
      <c r="E14" s="21"/>
      <c r="F14" s="27"/>
      <c r="G14" s="23"/>
      <c r="H14" s="24" t="s">
        <v>203</v>
      </c>
      <c r="I14" s="41"/>
      <c r="J14" s="41"/>
      <c r="K14" s="41"/>
      <c r="L14" s="41"/>
      <c r="M14" s="41"/>
      <c r="N14" s="41">
        <f t="shared" si="0"/>
        <v>0</v>
      </c>
      <c r="O14" s="41">
        <f t="shared" si="1"/>
        <v>0</v>
      </c>
      <c r="P14" s="41" t="str">
        <f t="shared" si="2"/>
        <v/>
      </c>
      <c r="Q14" s="41" t="str">
        <f t="shared" si="3"/>
        <v/>
      </c>
      <c r="R14" s="25"/>
    </row>
    <row r="15" s="2" customFormat="1" ht="16.5" customHeight="1" spans="1:18">
      <c r="A15" s="11"/>
      <c r="B15" s="25"/>
      <c r="C15" s="25"/>
      <c r="D15" s="26"/>
      <c r="E15" s="21"/>
      <c r="F15" s="27"/>
      <c r="G15" s="23"/>
      <c r="H15" s="24" t="s">
        <v>203</v>
      </c>
      <c r="I15" s="41"/>
      <c r="J15" s="41"/>
      <c r="K15" s="41"/>
      <c r="L15" s="41"/>
      <c r="M15" s="41"/>
      <c r="N15" s="41">
        <f t="shared" si="0"/>
        <v>0</v>
      </c>
      <c r="O15" s="41">
        <f t="shared" si="1"/>
        <v>0</v>
      </c>
      <c r="P15" s="41" t="str">
        <f t="shared" si="2"/>
        <v/>
      </c>
      <c r="Q15" s="41" t="str">
        <f t="shared" si="3"/>
        <v/>
      </c>
      <c r="R15" s="25"/>
    </row>
    <row r="16" s="2" customFormat="1" ht="16.5" customHeight="1" spans="1:18">
      <c r="A16" s="11"/>
      <c r="B16" s="25"/>
      <c r="C16" s="25"/>
      <c r="D16" s="26"/>
      <c r="E16" s="21"/>
      <c r="F16" s="27"/>
      <c r="G16" s="23"/>
      <c r="H16" s="24" t="s">
        <v>203</v>
      </c>
      <c r="I16" s="41"/>
      <c r="J16" s="41"/>
      <c r="K16" s="41"/>
      <c r="L16" s="41"/>
      <c r="M16" s="41"/>
      <c r="N16" s="41">
        <f t="shared" si="0"/>
        <v>0</v>
      </c>
      <c r="O16" s="41">
        <f t="shared" si="1"/>
        <v>0</v>
      </c>
      <c r="P16" s="41" t="str">
        <f t="shared" si="2"/>
        <v/>
      </c>
      <c r="Q16" s="41" t="str">
        <f t="shared" si="3"/>
        <v/>
      </c>
      <c r="R16" s="25"/>
    </row>
    <row r="17" s="2" customFormat="1" ht="16.5" customHeight="1" spans="1:18">
      <c r="A17" s="11"/>
      <c r="B17" s="25"/>
      <c r="C17" s="25"/>
      <c r="D17" s="26"/>
      <c r="E17" s="21"/>
      <c r="F17" s="27"/>
      <c r="G17" s="23"/>
      <c r="H17" s="24" t="s">
        <v>203</v>
      </c>
      <c r="I17" s="41"/>
      <c r="J17" s="41"/>
      <c r="K17" s="41"/>
      <c r="L17" s="41"/>
      <c r="M17" s="41"/>
      <c r="N17" s="41">
        <f t="shared" si="0"/>
        <v>0</v>
      </c>
      <c r="O17" s="41">
        <f t="shared" si="1"/>
        <v>0</v>
      </c>
      <c r="P17" s="41" t="str">
        <f t="shared" si="2"/>
        <v/>
      </c>
      <c r="Q17" s="41" t="str">
        <f t="shared" si="3"/>
        <v/>
      </c>
      <c r="R17" s="25"/>
    </row>
    <row r="18" s="2" customFormat="1" ht="16.5" customHeight="1" spans="1:18">
      <c r="A18" s="11"/>
      <c r="B18" s="25"/>
      <c r="C18" s="25"/>
      <c r="D18" s="26"/>
      <c r="E18" s="21"/>
      <c r="F18" s="27"/>
      <c r="G18" s="23"/>
      <c r="H18" s="24" t="s">
        <v>203</v>
      </c>
      <c r="I18" s="41"/>
      <c r="J18" s="41"/>
      <c r="K18" s="41"/>
      <c r="L18" s="41"/>
      <c r="M18" s="41"/>
      <c r="N18" s="41">
        <f t="shared" si="0"/>
        <v>0</v>
      </c>
      <c r="O18" s="41">
        <f t="shared" si="1"/>
        <v>0</v>
      </c>
      <c r="P18" s="41" t="str">
        <f t="shared" si="2"/>
        <v/>
      </c>
      <c r="Q18" s="41" t="str">
        <f t="shared" si="3"/>
        <v/>
      </c>
      <c r="R18" s="25"/>
    </row>
    <row r="19" s="2" customFormat="1" ht="16.5" customHeight="1" spans="1:18">
      <c r="A19" s="11"/>
      <c r="B19" s="25"/>
      <c r="C19" s="25"/>
      <c r="D19" s="26"/>
      <c r="E19" s="21"/>
      <c r="F19" s="27"/>
      <c r="G19" s="23"/>
      <c r="H19" s="24" t="s">
        <v>203</v>
      </c>
      <c r="I19" s="41"/>
      <c r="J19" s="41"/>
      <c r="K19" s="41"/>
      <c r="L19" s="41"/>
      <c r="M19" s="41"/>
      <c r="N19" s="41">
        <f t="shared" si="0"/>
        <v>0</v>
      </c>
      <c r="O19" s="41">
        <f t="shared" si="1"/>
        <v>0</v>
      </c>
      <c r="P19" s="41" t="str">
        <f t="shared" si="2"/>
        <v/>
      </c>
      <c r="Q19" s="41" t="str">
        <f t="shared" si="3"/>
        <v/>
      </c>
      <c r="R19" s="25"/>
    </row>
    <row r="20" s="2" customFormat="1" ht="16.5" customHeight="1" spans="1:18">
      <c r="A20" s="11"/>
      <c r="B20" s="25"/>
      <c r="C20" s="25"/>
      <c r="D20" s="26"/>
      <c r="E20" s="21"/>
      <c r="F20" s="27"/>
      <c r="G20" s="23"/>
      <c r="H20" s="24" t="s">
        <v>203</v>
      </c>
      <c r="I20" s="41"/>
      <c r="J20" s="41"/>
      <c r="K20" s="41"/>
      <c r="L20" s="41"/>
      <c r="M20" s="41"/>
      <c r="N20" s="41">
        <f t="shared" si="0"/>
        <v>0</v>
      </c>
      <c r="O20" s="41">
        <f t="shared" si="1"/>
        <v>0</v>
      </c>
      <c r="P20" s="41" t="str">
        <f t="shared" si="2"/>
        <v/>
      </c>
      <c r="Q20" s="41" t="str">
        <f t="shared" si="3"/>
        <v/>
      </c>
      <c r="R20" s="25"/>
    </row>
    <row r="21" s="2" customFormat="1" ht="16.5" customHeight="1" spans="1:18">
      <c r="A21" s="11"/>
      <c r="B21" s="25"/>
      <c r="C21" s="25"/>
      <c r="D21" s="26"/>
      <c r="E21" s="21"/>
      <c r="F21" s="27"/>
      <c r="G21" s="23"/>
      <c r="H21" s="24" t="s">
        <v>203</v>
      </c>
      <c r="I21" s="41"/>
      <c r="J21" s="41"/>
      <c r="K21" s="41"/>
      <c r="L21" s="41"/>
      <c r="M21" s="41"/>
      <c r="N21" s="41">
        <f t="shared" si="0"/>
        <v>0</v>
      </c>
      <c r="O21" s="41">
        <f t="shared" si="1"/>
        <v>0</v>
      </c>
      <c r="P21" s="41" t="str">
        <f t="shared" si="2"/>
        <v/>
      </c>
      <c r="Q21" s="41" t="str">
        <f t="shared" si="3"/>
        <v/>
      </c>
      <c r="R21" s="25"/>
    </row>
    <row r="22" s="2" customFormat="1" ht="16.5" customHeight="1" spans="1:18">
      <c r="A22" s="11"/>
      <c r="B22" s="25"/>
      <c r="C22" s="25"/>
      <c r="D22" s="26"/>
      <c r="E22" s="21"/>
      <c r="F22" s="27"/>
      <c r="G22" s="23"/>
      <c r="H22" s="24"/>
      <c r="I22" s="41"/>
      <c r="J22" s="41"/>
      <c r="K22" s="41"/>
      <c r="L22" s="41"/>
      <c r="M22" s="41"/>
      <c r="N22" s="41"/>
      <c r="O22" s="41">
        <f t="shared" si="1"/>
        <v>0</v>
      </c>
      <c r="P22" s="41" t="str">
        <f t="shared" si="2"/>
        <v/>
      </c>
      <c r="Q22" s="41"/>
      <c r="R22" s="25"/>
    </row>
    <row r="23" s="2" customFormat="1" ht="16.5" customHeight="1" spans="1:18">
      <c r="A23" s="11"/>
      <c r="B23" s="25"/>
      <c r="C23" s="25"/>
      <c r="D23" s="26"/>
      <c r="E23" s="21"/>
      <c r="F23" s="27"/>
      <c r="G23" s="23"/>
      <c r="H23" s="24"/>
      <c r="I23" s="41"/>
      <c r="J23" s="41"/>
      <c r="K23" s="41"/>
      <c r="L23" s="41"/>
      <c r="M23" s="41"/>
      <c r="N23" s="41"/>
      <c r="O23" s="41">
        <f t="shared" si="1"/>
        <v>0</v>
      </c>
      <c r="P23" s="41" t="str">
        <f t="shared" si="2"/>
        <v/>
      </c>
      <c r="Q23" s="41"/>
      <c r="R23" s="25"/>
    </row>
    <row r="24" s="2" customFormat="1" ht="16.5" customHeight="1" spans="1:18">
      <c r="A24" s="11"/>
      <c r="B24" s="25"/>
      <c r="C24" s="25"/>
      <c r="D24" s="26"/>
      <c r="E24" s="21"/>
      <c r="F24" s="27"/>
      <c r="G24" s="23"/>
      <c r="H24" s="24" t="s">
        <v>203</v>
      </c>
      <c r="I24" s="41"/>
      <c r="J24" s="41"/>
      <c r="K24" s="41"/>
      <c r="L24" s="41"/>
      <c r="M24" s="41"/>
      <c r="N24" s="41">
        <f t="shared" ref="N24:N29" si="4">K24-I24</f>
        <v>0</v>
      </c>
      <c r="O24" s="41">
        <f t="shared" si="1"/>
        <v>0</v>
      </c>
      <c r="P24" s="41" t="str">
        <f t="shared" si="2"/>
        <v/>
      </c>
      <c r="Q24" s="41" t="str">
        <f t="shared" ref="Q24:Q26" si="5">IF(G24=0,"",ROUND(K24/G24,0))</f>
        <v/>
      </c>
      <c r="R24" s="25"/>
    </row>
    <row r="25" s="2" customFormat="1" ht="16.5" customHeight="1" spans="1:18">
      <c r="A25" s="11"/>
      <c r="B25" s="25"/>
      <c r="C25" s="25"/>
      <c r="D25" s="26"/>
      <c r="E25" s="21"/>
      <c r="F25" s="27"/>
      <c r="G25" s="23"/>
      <c r="H25" s="24" t="s">
        <v>203</v>
      </c>
      <c r="I25" s="41"/>
      <c r="J25" s="41"/>
      <c r="K25" s="41"/>
      <c r="L25" s="41"/>
      <c r="M25" s="41"/>
      <c r="N25" s="41">
        <f t="shared" si="4"/>
        <v>0</v>
      </c>
      <c r="O25" s="41">
        <f t="shared" si="1"/>
        <v>0</v>
      </c>
      <c r="P25" s="41" t="str">
        <f t="shared" si="2"/>
        <v/>
      </c>
      <c r="Q25" s="41" t="str">
        <f t="shared" si="5"/>
        <v/>
      </c>
      <c r="R25" s="25"/>
    </row>
    <row r="26" s="2" customFormat="1" ht="16.5" customHeight="1" spans="1:18">
      <c r="A26" s="11"/>
      <c r="B26" s="25"/>
      <c r="C26" s="25"/>
      <c r="D26" s="26"/>
      <c r="E26" s="21"/>
      <c r="F26" s="27"/>
      <c r="G26" s="23"/>
      <c r="H26" s="24" t="s">
        <v>203</v>
      </c>
      <c r="I26" s="41"/>
      <c r="J26" s="41"/>
      <c r="K26" s="41"/>
      <c r="L26" s="41"/>
      <c r="M26" s="41"/>
      <c r="N26" s="41">
        <f t="shared" si="4"/>
        <v>0</v>
      </c>
      <c r="O26" s="41">
        <f t="shared" si="1"/>
        <v>0</v>
      </c>
      <c r="P26" s="41" t="str">
        <f t="shared" si="2"/>
        <v/>
      </c>
      <c r="Q26" s="41" t="str">
        <f t="shared" si="5"/>
        <v/>
      </c>
      <c r="R26" s="25"/>
    </row>
    <row r="27" s="2" customFormat="1" ht="16.5" customHeight="1" spans="1:18">
      <c r="A27" s="28" t="s">
        <v>204</v>
      </c>
      <c r="B27" s="29"/>
      <c r="C27" s="30"/>
      <c r="D27" s="26"/>
      <c r="E27" s="27"/>
      <c r="F27" s="27"/>
      <c r="G27" s="23"/>
      <c r="H27" s="24"/>
      <c r="I27" s="41">
        <f t="shared" ref="I27:K27" si="6">ROUND(SUM(I8:I26),2)</f>
        <v>0</v>
      </c>
      <c r="J27" s="41">
        <f t="shared" si="6"/>
        <v>0</v>
      </c>
      <c r="K27" s="41">
        <f t="shared" si="6"/>
        <v>0</v>
      </c>
      <c r="L27" s="41"/>
      <c r="M27" s="41">
        <f>ROUND(SUM(M8:M26),2)</f>
        <v>2294400</v>
      </c>
      <c r="N27" s="41">
        <f t="shared" si="4"/>
        <v>0</v>
      </c>
      <c r="O27" s="41">
        <f t="shared" si="1"/>
        <v>2294400</v>
      </c>
      <c r="P27" s="41" t="str">
        <f t="shared" si="2"/>
        <v/>
      </c>
      <c r="Q27" s="41"/>
      <c r="R27" s="25"/>
    </row>
    <row r="28" s="2" customFormat="1" ht="16.5" customHeight="1" spans="1:18">
      <c r="A28" s="31" t="s">
        <v>205</v>
      </c>
      <c r="B28" s="32"/>
      <c r="C28" s="33"/>
      <c r="D28" s="24"/>
      <c r="E28" s="24"/>
      <c r="F28" s="24"/>
      <c r="G28" s="24"/>
      <c r="H28" s="24"/>
      <c r="I28" s="41"/>
      <c r="J28" s="41"/>
      <c r="K28" s="41"/>
      <c r="L28" s="41"/>
      <c r="M28" s="41"/>
      <c r="N28" s="41">
        <f t="shared" si="4"/>
        <v>0</v>
      </c>
      <c r="O28" s="41">
        <f t="shared" si="1"/>
        <v>0</v>
      </c>
      <c r="P28" s="41" t="str">
        <f t="shared" si="2"/>
        <v/>
      </c>
      <c r="Q28" s="41"/>
      <c r="R28" s="34"/>
    </row>
    <row r="29" s="2" customFormat="1" ht="16.5" customHeight="1" spans="1:18">
      <c r="A29" s="28" t="s">
        <v>169</v>
      </c>
      <c r="B29" s="29"/>
      <c r="C29" s="30"/>
      <c r="D29" s="26"/>
      <c r="E29" s="27"/>
      <c r="F29" s="27"/>
      <c r="G29" s="34"/>
      <c r="H29" s="24"/>
      <c r="I29" s="41">
        <f t="shared" ref="I29:K29" si="7">I27-I28</f>
        <v>0</v>
      </c>
      <c r="J29" s="41">
        <f t="shared" si="7"/>
        <v>0</v>
      </c>
      <c r="K29" s="41">
        <f t="shared" si="7"/>
        <v>0</v>
      </c>
      <c r="L29" s="41"/>
      <c r="M29" s="41">
        <f>M27-M28</f>
        <v>2294400</v>
      </c>
      <c r="N29" s="41">
        <f t="shared" si="4"/>
        <v>0</v>
      </c>
      <c r="O29" s="41">
        <f t="shared" si="1"/>
        <v>2294400</v>
      </c>
      <c r="P29" s="41" t="str">
        <f t="shared" si="2"/>
        <v/>
      </c>
      <c r="Q29" s="41"/>
      <c r="R29" s="25"/>
    </row>
    <row r="30" customHeight="1" spans="1:18">
      <c r="A30" s="35"/>
      <c r="B30" s="35"/>
      <c r="C30" s="35"/>
      <c r="D30" s="35"/>
      <c r="E30" s="36"/>
      <c r="F30" s="36"/>
      <c r="G30" s="36"/>
      <c r="I30" s="42"/>
      <c r="J30" s="42"/>
      <c r="K30" s="42"/>
      <c r="L30" s="42"/>
      <c r="M30" s="42"/>
      <c r="N30" s="42"/>
      <c r="O30" s="42"/>
      <c r="P30" s="42"/>
      <c r="Q30" s="42"/>
      <c r="R30" s="42"/>
    </row>
    <row r="31" customHeight="1" spans="1:1">
      <c r="A31" s="37"/>
    </row>
  </sheetData>
  <mergeCells count="17">
    <mergeCell ref="I6:J6"/>
    <mergeCell ref="N6:O6"/>
    <mergeCell ref="A27:C27"/>
    <mergeCell ref="A28:C28"/>
    <mergeCell ref="A29:C29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P6:P7"/>
    <mergeCell ref="Q6:Q7"/>
    <mergeCell ref="R6:R7"/>
  </mergeCells>
  <printOptions horizontalCentered="1"/>
  <pageMargins left="0.747916666666667" right="0.747916666666667" top="0.865277777777778" bottom="0.865277777777778" header="1.0625" footer="0.511805555555556"/>
  <pageSetup paperSize="9" scale="83" fitToHeight="0" orientation="landscape" horizontalDpi="600"/>
  <headerFooter scaleWithDoc="0">
    <oddFooter>&amp;R&amp;10评估人员：王冰、武亚斌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1-汇总表</vt:lpstr>
      <vt:lpstr>2-分类汇总</vt:lpstr>
      <vt:lpstr>3-9存货汇总</vt:lpstr>
      <vt:lpstr>3-9-2原材料</vt:lpstr>
      <vt:lpstr>4-非流动资产汇总</vt:lpstr>
      <vt:lpstr>4-6固定资产汇总</vt:lpstr>
      <vt:lpstr>4-6-1房屋建筑物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大斌Wallace</cp:lastModifiedBy>
  <dcterms:created xsi:type="dcterms:W3CDTF">2018-11-08T15:02:00Z</dcterms:created>
  <dcterms:modified xsi:type="dcterms:W3CDTF">2018-11-13T05:36:45Z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